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/>
  <mc:AlternateContent xmlns:mc="http://schemas.openxmlformats.org/markup-compatibility/2006">
    <mc:Choice Requires="x15">
      <x15ac:absPath xmlns:x15ac="http://schemas.microsoft.com/office/spreadsheetml/2010/11/ac" url="https://d.docs.live.net/f037f727f2241cb9/Documents/Sk/Job_search/Consulting/PhD^M_Course/PhD^M_Module_Excel_Pro/"/>
    </mc:Choice>
  </mc:AlternateContent>
  <xr:revisionPtr revIDLastSave="466" documentId="8_{6A85B3EA-7BA9-45AB-AD1C-87B0B442C11E}" xr6:coauthVersionLast="47" xr6:coauthVersionMax="47" xr10:uidLastSave="{B65FB511-FDA2-4AC7-AF73-2F69556FCF5C}"/>
  <bookViews>
    <workbookView xWindow="28680" yWindow="-120" windowWidth="21840" windowHeight="13140" xr2:uid="{00000000-000D-0000-FFFF-FFFF00000000}"/>
  </bookViews>
  <sheets>
    <sheet name="About" sheetId="7" r:id="rId1"/>
    <sheet name="Summary" sheetId="5" r:id="rId2"/>
    <sheet name="Market size" sheetId="6" r:id="rId3"/>
    <sheet name="Data-&gt;" sheetId="4" r:id="rId4"/>
    <sheet name="Sales" sheetId="3" r:id="rId5"/>
    <sheet name="Author" sheetId="13" r:id="rId6"/>
    <sheet name="Survey" sheetId="14" r:id="rId7"/>
    <sheet name="Costs" sheetId="15" r:id="rId8"/>
  </sheets>
  <externalReferences>
    <externalReference r:id="rId9"/>
  </externalReferences>
  <definedNames>
    <definedName name="_xlnm._FilterDatabase" localSheetId="4" hidden="1">Sales!$A$3:$H$158</definedName>
    <definedName name="_xlnm._FilterDatabase" localSheetId="6" hidden="1">Survey!$A$27:$U$127</definedName>
    <definedName name="Comp_Table" localSheetId="7">#REF!</definedName>
    <definedName name="Comp_Table">#REF!</definedName>
    <definedName name="Count_Fct" localSheetId="7">#REF!</definedName>
    <definedName name="Count_Fct">#REF!</definedName>
    <definedName name="Count_Mkt" localSheetId="7">#REF!</definedName>
    <definedName name="Count_Mkt">#REF!</definedName>
    <definedName name="Count_Per" localSheetId="7">#REF!</definedName>
    <definedName name="Count_Per">#REF!</definedName>
    <definedName name="_xlnm.Database" localSheetId="7">#REF!</definedName>
    <definedName name="_xlnm.Database">#REF!</definedName>
    <definedName name="Database_MI" localSheetId="7">#REF!</definedName>
    <definedName name="Database_MI">#REF!</definedName>
    <definedName name="DD_Reports">OFFSET([1]Dropdowns!$G$3,0,0,COUNTA([1]Dropdowns!$G$3:$G$65000),1)</definedName>
    <definedName name="ExternalData_1" localSheetId="5" hidden="1">Author!$A$5:$C$160</definedName>
    <definedName name="INTERNET" localSheetId="7">#REF!</definedName>
    <definedName name="INTERNET">#REF!</definedName>
    <definedName name="Num_Pers" localSheetId="7">#REF!</definedName>
    <definedName name="Num_Pers">#REF!</definedName>
    <definedName name="Num_Prods" localSheetId="7">#REF!</definedName>
    <definedName name="Num_Prods">#REF!</definedName>
    <definedName name="Offset_Category" localSheetId="7">#REF!</definedName>
    <definedName name="Offset_Category">#REF!</definedName>
    <definedName name="Offset_Fct" localSheetId="7">#REF!</definedName>
    <definedName name="Offset_Fct">#REF!</definedName>
    <definedName name="Offset_Mkt" localSheetId="7">#REF!</definedName>
    <definedName name="Offset_Mkt">#REF!</definedName>
    <definedName name="Offset_Prod" localSheetId="7">#REF!</definedName>
    <definedName name="Offset_Prod">#REF!</definedName>
    <definedName name="Page_Counts" localSheetId="7">#REF!</definedName>
    <definedName name="Page_Counts">#REF!</definedName>
    <definedName name="Print_Area_MI" localSheetId="7">#REF!</definedName>
    <definedName name="Print_Area_MI">#REF!</definedName>
    <definedName name="Sel_Prod" localSheetId="7">#REF!</definedName>
    <definedName name="Sel_Prod">#REF!</definedName>
    <definedName name="Sel_Rpt" localSheetId="7">#REF!</definedName>
    <definedName name="Sel_Rpt">#REF!</definedName>
    <definedName name="SetNumber" localSheetId="7">#REF!</definedName>
    <definedName name="SetNumber">#REF!</definedName>
    <definedName name="SOURCE" localSheetId="7">#REF!</definedName>
    <definedName name="SOURCE">#REF!</definedName>
    <definedName name="TERMS" localSheetId="7">#REF!</definedName>
    <definedName name="TERMS">#REF!</definedName>
    <definedName name="TITLE" localSheetId="7">#REF!</definedName>
    <definedName name="TITLE">#REF!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4" i="5" l="1"/>
  <c r="B45" i="5" s="1"/>
  <c r="B46" i="5" s="1"/>
  <c r="B47" i="5" s="1"/>
  <c r="B48" i="5" s="1"/>
  <c r="B49" i="5" s="1"/>
  <c r="B50" i="5" s="1"/>
  <c r="E42" i="5"/>
  <c r="F42" i="5" s="1"/>
  <c r="G42" i="5" s="1"/>
  <c r="H42" i="5" s="1"/>
  <c r="I42" i="5" s="1"/>
  <c r="D42" i="5"/>
  <c r="B30" i="5"/>
  <c r="B31" i="5" s="1"/>
  <c r="B32" i="5" s="1"/>
  <c r="B33" i="5" s="1"/>
  <c r="B34" i="5" s="1"/>
  <c r="B35" i="5" s="1"/>
  <c r="B36" i="5" s="1"/>
  <c r="D28" i="5"/>
  <c r="E28" i="5" s="1"/>
  <c r="F28" i="5" s="1"/>
  <c r="G28" i="5" s="1"/>
  <c r="H28" i="5" s="1"/>
  <c r="I28" i="5" s="1"/>
  <c r="E7" i="5"/>
  <c r="G7" i="5" s="1"/>
  <c r="E6" i="5"/>
  <c r="G6" i="5" s="1"/>
  <c r="B7" i="5"/>
  <c r="D7" i="5" s="1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6" i="5"/>
  <c r="D6" i="5" s="1"/>
  <c r="F13" i="15"/>
  <c r="D13" i="15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6" i="6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4" i="14"/>
  <c r="D128" i="14"/>
  <c r="B5" i="14" s="1"/>
  <c r="G128" i="14"/>
  <c r="B6" i="14" s="1"/>
  <c r="H128" i="14"/>
  <c r="B7" i="14" s="1"/>
  <c r="I128" i="14"/>
  <c r="B8" i="14" s="1"/>
  <c r="J128" i="14"/>
  <c r="B9" i="14" s="1"/>
  <c r="K128" i="14"/>
  <c r="B10" i="14" s="1"/>
  <c r="L128" i="14"/>
  <c r="B11" i="14" s="1"/>
  <c r="M128" i="14"/>
  <c r="B12" i="14" s="1"/>
  <c r="N128" i="14"/>
  <c r="B13" i="14" s="1"/>
  <c r="O128" i="14"/>
  <c r="B14" i="14" s="1"/>
  <c r="P128" i="14"/>
  <c r="B15" i="14" s="1"/>
  <c r="Q128" i="14"/>
  <c r="B16" i="14" s="1"/>
  <c r="R128" i="14"/>
  <c r="B17" i="14" s="1"/>
  <c r="S128" i="14"/>
  <c r="B18" i="14" s="1"/>
  <c r="T128" i="14"/>
  <c r="B19" i="14" s="1"/>
  <c r="U128" i="14"/>
  <c r="B20" i="14" s="1"/>
  <c r="C128" i="14"/>
  <c r="B4" i="14" s="1"/>
  <c r="H6" i="6"/>
  <c r="J6" i="6" s="1"/>
  <c r="H7" i="6"/>
  <c r="J7" i="6" s="1"/>
  <c r="H8" i="6"/>
  <c r="J8" i="6" s="1"/>
  <c r="H9" i="6"/>
  <c r="J9" i="6" s="1"/>
  <c r="H10" i="6"/>
  <c r="J10" i="6" s="1"/>
  <c r="H11" i="6"/>
  <c r="J11" i="6" s="1"/>
  <c r="H12" i="6"/>
  <c r="J12" i="6" s="1"/>
  <c r="H13" i="6"/>
  <c r="J13" i="6" s="1"/>
  <c r="H14" i="6"/>
  <c r="J14" i="6" s="1"/>
  <c r="H15" i="6"/>
  <c r="J15" i="6" s="1"/>
  <c r="H16" i="6"/>
  <c r="J16" i="6" s="1"/>
  <c r="H17" i="6"/>
  <c r="J17" i="6" s="1"/>
  <c r="H18" i="6"/>
  <c r="J18" i="6" s="1"/>
  <c r="H19" i="6"/>
  <c r="J19" i="6" s="1"/>
  <c r="H20" i="6"/>
  <c r="J20" i="6" s="1"/>
  <c r="H21" i="6"/>
  <c r="J21" i="6" s="1"/>
  <c r="H22" i="6"/>
  <c r="J22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6" i="6"/>
  <c r="I6" i="6" s="1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58" i="6"/>
  <c r="F8" i="6"/>
  <c r="F9" i="6"/>
  <c r="F14" i="6"/>
  <c r="N14" i="6" s="1"/>
  <c r="O14" i="6" s="1"/>
  <c r="F16" i="6"/>
  <c r="E7" i="6"/>
  <c r="F7" i="6" s="1"/>
  <c r="E8" i="6"/>
  <c r="E9" i="6"/>
  <c r="E10" i="6"/>
  <c r="F10" i="6" s="1"/>
  <c r="E11" i="6"/>
  <c r="F11" i="6" s="1"/>
  <c r="E12" i="6"/>
  <c r="F12" i="6" s="1"/>
  <c r="E13" i="6"/>
  <c r="F13" i="6" s="1"/>
  <c r="E14" i="6"/>
  <c r="E15" i="6"/>
  <c r="F15" i="6" s="1"/>
  <c r="N15" i="6" s="1"/>
  <c r="O15" i="6" s="1"/>
  <c r="E16" i="6"/>
  <c r="E17" i="6"/>
  <c r="F17" i="6" s="1"/>
  <c r="N17" i="6" s="1"/>
  <c r="O17" i="6" s="1"/>
  <c r="E18" i="6"/>
  <c r="F18" i="6" s="1"/>
  <c r="N18" i="6" s="1"/>
  <c r="O18" i="6" s="1"/>
  <c r="E19" i="6"/>
  <c r="F19" i="6" s="1"/>
  <c r="N19" i="6" s="1"/>
  <c r="E20" i="6"/>
  <c r="F20" i="6" s="1"/>
  <c r="N20" i="6" s="1"/>
  <c r="E21" i="6"/>
  <c r="F21" i="6" s="1"/>
  <c r="E22" i="6"/>
  <c r="E6" i="6"/>
  <c r="F6" i="6" s="1"/>
  <c r="L6" i="3"/>
  <c r="L5" i="3"/>
  <c r="K6" i="3"/>
  <c r="K5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4" i="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D6" i="13"/>
  <c r="G6" i="13" s="1"/>
  <c r="D7" i="13"/>
  <c r="E7" i="13" s="1"/>
  <c r="H7" i="13" s="1"/>
  <c r="D8" i="13"/>
  <c r="E8" i="13" s="1"/>
  <c r="H8" i="13" s="1"/>
  <c r="D9" i="13"/>
  <c r="E9" i="13" s="1"/>
  <c r="F9" i="13" s="1"/>
  <c r="D10" i="13"/>
  <c r="E10" i="13" s="1"/>
  <c r="H10" i="13" s="1"/>
  <c r="D11" i="13"/>
  <c r="E11" i="13" s="1"/>
  <c r="H11" i="13" s="1"/>
  <c r="D12" i="13"/>
  <c r="E12" i="13" s="1"/>
  <c r="F12" i="13" s="1"/>
  <c r="D13" i="13"/>
  <c r="E13" i="13" s="1"/>
  <c r="F13" i="13" s="1"/>
  <c r="D14" i="13"/>
  <c r="E14" i="13" s="1"/>
  <c r="F14" i="13" s="1"/>
  <c r="D15" i="13"/>
  <c r="E15" i="13" s="1"/>
  <c r="F15" i="13" s="1"/>
  <c r="D16" i="13"/>
  <c r="E16" i="13" s="1"/>
  <c r="F16" i="13" s="1"/>
  <c r="D17" i="13"/>
  <c r="E17" i="13" s="1"/>
  <c r="F17" i="13" s="1"/>
  <c r="D18" i="13"/>
  <c r="E18" i="13" s="1"/>
  <c r="F18" i="13" s="1"/>
  <c r="D19" i="13"/>
  <c r="E19" i="13" s="1"/>
  <c r="F19" i="13" s="1"/>
  <c r="D20" i="13"/>
  <c r="E20" i="13" s="1"/>
  <c r="H20" i="13" s="1"/>
  <c r="D21" i="13"/>
  <c r="E21" i="13" s="1"/>
  <c r="H21" i="13" s="1"/>
  <c r="D22" i="13"/>
  <c r="E22" i="13" s="1"/>
  <c r="H22" i="13" s="1"/>
  <c r="D23" i="13"/>
  <c r="E23" i="13" s="1"/>
  <c r="H23" i="13" s="1"/>
  <c r="D24" i="13"/>
  <c r="E24" i="13" s="1"/>
  <c r="H24" i="13" s="1"/>
  <c r="D25" i="13"/>
  <c r="E25" i="13" s="1"/>
  <c r="F25" i="13" s="1"/>
  <c r="D26" i="13"/>
  <c r="E26" i="13" s="1"/>
  <c r="H26" i="13" s="1"/>
  <c r="D27" i="13"/>
  <c r="E27" i="13" s="1"/>
  <c r="H27" i="13" s="1"/>
  <c r="D28" i="13"/>
  <c r="E28" i="13" s="1"/>
  <c r="F28" i="13" s="1"/>
  <c r="D29" i="13"/>
  <c r="E29" i="13" s="1"/>
  <c r="F29" i="13" s="1"/>
  <c r="D30" i="13"/>
  <c r="E30" i="13" s="1"/>
  <c r="F30" i="13" s="1"/>
  <c r="D31" i="13"/>
  <c r="E31" i="13" s="1"/>
  <c r="F31" i="13" s="1"/>
  <c r="D32" i="13"/>
  <c r="E32" i="13" s="1"/>
  <c r="F32" i="13" s="1"/>
  <c r="D33" i="13"/>
  <c r="E33" i="13" s="1"/>
  <c r="F33" i="13" s="1"/>
  <c r="D34" i="13"/>
  <c r="E34" i="13" s="1"/>
  <c r="F34" i="13" s="1"/>
  <c r="D35" i="13"/>
  <c r="E35" i="13" s="1"/>
  <c r="F35" i="13" s="1"/>
  <c r="D36" i="13"/>
  <c r="E36" i="13" s="1"/>
  <c r="F36" i="13" s="1"/>
  <c r="D37" i="13"/>
  <c r="E37" i="13" s="1"/>
  <c r="F37" i="13" s="1"/>
  <c r="D38" i="13"/>
  <c r="E38" i="13" s="1"/>
  <c r="H38" i="13" s="1"/>
  <c r="D39" i="13"/>
  <c r="E39" i="13" s="1"/>
  <c r="H39" i="13" s="1"/>
  <c r="D40" i="13"/>
  <c r="E40" i="13" s="1"/>
  <c r="H40" i="13" s="1"/>
  <c r="D41" i="13"/>
  <c r="E41" i="13" s="1"/>
  <c r="F41" i="13" s="1"/>
  <c r="D42" i="13"/>
  <c r="E42" i="13" s="1"/>
  <c r="H42" i="13" s="1"/>
  <c r="D43" i="13"/>
  <c r="E43" i="13" s="1"/>
  <c r="H43" i="13" s="1"/>
  <c r="D44" i="13"/>
  <c r="E44" i="13" s="1"/>
  <c r="F44" i="13" s="1"/>
  <c r="D45" i="13"/>
  <c r="E45" i="13" s="1"/>
  <c r="F45" i="13" s="1"/>
  <c r="D46" i="13"/>
  <c r="E46" i="13" s="1"/>
  <c r="F46" i="13" s="1"/>
  <c r="D47" i="13"/>
  <c r="E47" i="13" s="1"/>
  <c r="F47" i="13" s="1"/>
  <c r="D48" i="13"/>
  <c r="E48" i="13" s="1"/>
  <c r="F48" i="13" s="1"/>
  <c r="D49" i="13"/>
  <c r="E49" i="13" s="1"/>
  <c r="F49" i="13" s="1"/>
  <c r="D50" i="13"/>
  <c r="E50" i="13" s="1"/>
  <c r="F50" i="13" s="1"/>
  <c r="D51" i="13"/>
  <c r="E51" i="13" s="1"/>
  <c r="F51" i="13" s="1"/>
  <c r="D52" i="13"/>
  <c r="E52" i="13" s="1"/>
  <c r="H52" i="13" s="1"/>
  <c r="D53" i="13"/>
  <c r="E53" i="13" s="1"/>
  <c r="H53" i="13" s="1"/>
  <c r="D54" i="13"/>
  <c r="E54" i="13" s="1"/>
  <c r="H54" i="13" s="1"/>
  <c r="D55" i="13"/>
  <c r="E55" i="13" s="1"/>
  <c r="H55" i="13" s="1"/>
  <c r="D56" i="13"/>
  <c r="E56" i="13" s="1"/>
  <c r="H56" i="13" s="1"/>
  <c r="D57" i="13"/>
  <c r="E57" i="13" s="1"/>
  <c r="H57" i="13" s="1"/>
  <c r="D58" i="13"/>
  <c r="E58" i="13" s="1"/>
  <c r="H58" i="13" s="1"/>
  <c r="D59" i="13"/>
  <c r="E59" i="13" s="1"/>
  <c r="H59" i="13" s="1"/>
  <c r="D60" i="13"/>
  <c r="E60" i="13" s="1"/>
  <c r="F60" i="13" s="1"/>
  <c r="D61" i="13"/>
  <c r="E61" i="13" s="1"/>
  <c r="F61" i="13" s="1"/>
  <c r="D62" i="13"/>
  <c r="E62" i="13" s="1"/>
  <c r="F62" i="13" s="1"/>
  <c r="D63" i="13"/>
  <c r="E63" i="13" s="1"/>
  <c r="F63" i="13" s="1"/>
  <c r="D64" i="13"/>
  <c r="E64" i="13" s="1"/>
  <c r="F64" i="13" s="1"/>
  <c r="D65" i="13"/>
  <c r="E65" i="13" s="1"/>
  <c r="F65" i="13" s="1"/>
  <c r="D66" i="13"/>
  <c r="E66" i="13" s="1"/>
  <c r="F66" i="13" s="1"/>
  <c r="D67" i="13"/>
  <c r="E67" i="13" s="1"/>
  <c r="F67" i="13" s="1"/>
  <c r="D68" i="13"/>
  <c r="E68" i="13" s="1"/>
  <c r="F68" i="13" s="1"/>
  <c r="D69" i="13"/>
  <c r="E69" i="13" s="1"/>
  <c r="F69" i="13" s="1"/>
  <c r="D70" i="13"/>
  <c r="E70" i="13" s="1"/>
  <c r="H70" i="13" s="1"/>
  <c r="D71" i="13"/>
  <c r="E71" i="13" s="1"/>
  <c r="H71" i="13" s="1"/>
  <c r="D72" i="13"/>
  <c r="E72" i="13" s="1"/>
  <c r="H72" i="13" s="1"/>
  <c r="D73" i="13"/>
  <c r="E73" i="13" s="1"/>
  <c r="F73" i="13" s="1"/>
  <c r="D74" i="13"/>
  <c r="E74" i="13" s="1"/>
  <c r="H74" i="13" s="1"/>
  <c r="D75" i="13"/>
  <c r="E75" i="13" s="1"/>
  <c r="H75" i="13" s="1"/>
  <c r="D76" i="13"/>
  <c r="E76" i="13" s="1"/>
  <c r="F76" i="13" s="1"/>
  <c r="D77" i="13"/>
  <c r="E77" i="13" s="1"/>
  <c r="F77" i="13" s="1"/>
  <c r="D78" i="13"/>
  <c r="E78" i="13" s="1"/>
  <c r="F78" i="13" s="1"/>
  <c r="D79" i="13"/>
  <c r="E79" i="13" s="1"/>
  <c r="F79" i="13" s="1"/>
  <c r="D80" i="13"/>
  <c r="E80" i="13" s="1"/>
  <c r="F80" i="13" s="1"/>
  <c r="D81" i="13"/>
  <c r="E81" i="13" s="1"/>
  <c r="F81" i="13" s="1"/>
  <c r="D82" i="13"/>
  <c r="E82" i="13" s="1"/>
  <c r="F82" i="13" s="1"/>
  <c r="D83" i="13"/>
  <c r="E83" i="13" s="1"/>
  <c r="F83" i="13" s="1"/>
  <c r="D84" i="13"/>
  <c r="E84" i="13" s="1"/>
  <c r="F84" i="13" s="1"/>
  <c r="D85" i="13"/>
  <c r="E85" i="13" s="1"/>
  <c r="F85" i="13" s="1"/>
  <c r="D86" i="13"/>
  <c r="E86" i="13" s="1"/>
  <c r="H86" i="13" s="1"/>
  <c r="D87" i="13"/>
  <c r="E87" i="13" s="1"/>
  <c r="H87" i="13" s="1"/>
  <c r="D88" i="13"/>
  <c r="E88" i="13" s="1"/>
  <c r="F88" i="13" s="1"/>
  <c r="D89" i="13"/>
  <c r="E89" i="13" s="1"/>
  <c r="F89" i="13" s="1"/>
  <c r="D90" i="13"/>
  <c r="E90" i="13" s="1"/>
  <c r="F90" i="13" s="1"/>
  <c r="D91" i="13"/>
  <c r="E91" i="13" s="1"/>
  <c r="F91" i="13" s="1"/>
  <c r="D92" i="13"/>
  <c r="E92" i="13" s="1"/>
  <c r="F92" i="13" s="1"/>
  <c r="D93" i="13"/>
  <c r="E93" i="13" s="1"/>
  <c r="F93" i="13" s="1"/>
  <c r="D94" i="13"/>
  <c r="E94" i="13" s="1"/>
  <c r="F94" i="13" s="1"/>
  <c r="D95" i="13"/>
  <c r="E95" i="13" s="1"/>
  <c r="F95" i="13" s="1"/>
  <c r="D96" i="13"/>
  <c r="E96" i="13" s="1"/>
  <c r="F96" i="13" s="1"/>
  <c r="D97" i="13"/>
  <c r="E97" i="13" s="1"/>
  <c r="F97" i="13" s="1"/>
  <c r="D98" i="13"/>
  <c r="E98" i="13" s="1"/>
  <c r="F98" i="13" s="1"/>
  <c r="D99" i="13"/>
  <c r="E99" i="13" s="1"/>
  <c r="F99" i="13" s="1"/>
  <c r="D100" i="13"/>
  <c r="E100" i="13" s="1"/>
  <c r="F100" i="13" s="1"/>
  <c r="D101" i="13"/>
  <c r="E101" i="13" s="1"/>
  <c r="F101" i="13" s="1"/>
  <c r="D102" i="13"/>
  <c r="E102" i="13" s="1"/>
  <c r="H102" i="13" s="1"/>
  <c r="D103" i="13"/>
  <c r="E103" i="13" s="1"/>
  <c r="H103" i="13" s="1"/>
  <c r="D104" i="13"/>
  <c r="E104" i="13" s="1"/>
  <c r="H104" i="13" s="1"/>
  <c r="D105" i="13"/>
  <c r="E105" i="13" s="1"/>
  <c r="F105" i="13" s="1"/>
  <c r="D106" i="13"/>
  <c r="E106" i="13" s="1"/>
  <c r="H106" i="13" s="1"/>
  <c r="D107" i="13"/>
  <c r="E107" i="13" s="1"/>
  <c r="H107" i="13" s="1"/>
  <c r="D108" i="13"/>
  <c r="E108" i="13" s="1"/>
  <c r="F108" i="13" s="1"/>
  <c r="D109" i="13"/>
  <c r="E109" i="13" s="1"/>
  <c r="F109" i="13" s="1"/>
  <c r="D110" i="13"/>
  <c r="E110" i="13" s="1"/>
  <c r="F110" i="13" s="1"/>
  <c r="D111" i="13"/>
  <c r="E111" i="13" s="1"/>
  <c r="F111" i="13" s="1"/>
  <c r="D112" i="13"/>
  <c r="E112" i="13" s="1"/>
  <c r="F112" i="13" s="1"/>
  <c r="D113" i="13"/>
  <c r="E113" i="13" s="1"/>
  <c r="F113" i="13" s="1"/>
  <c r="D114" i="13"/>
  <c r="E114" i="13" s="1"/>
  <c r="F114" i="13" s="1"/>
  <c r="D115" i="13"/>
  <c r="E115" i="13" s="1"/>
  <c r="F115" i="13" s="1"/>
  <c r="D116" i="13"/>
  <c r="E116" i="13" s="1"/>
  <c r="F116" i="13" s="1"/>
  <c r="D117" i="13"/>
  <c r="E117" i="13" s="1"/>
  <c r="F117" i="13" s="1"/>
  <c r="D118" i="13"/>
  <c r="E118" i="13" s="1"/>
  <c r="H118" i="13" s="1"/>
  <c r="D119" i="13"/>
  <c r="E119" i="13" s="1"/>
  <c r="H119" i="13" s="1"/>
  <c r="D120" i="13"/>
  <c r="E120" i="13" s="1"/>
  <c r="H120" i="13" s="1"/>
  <c r="D121" i="13"/>
  <c r="E121" i="13" s="1"/>
  <c r="F121" i="13" s="1"/>
  <c r="D122" i="13"/>
  <c r="E122" i="13" s="1"/>
  <c r="F122" i="13" s="1"/>
  <c r="D123" i="13"/>
  <c r="E123" i="13" s="1"/>
  <c r="F123" i="13" s="1"/>
  <c r="D124" i="13"/>
  <c r="E124" i="13" s="1"/>
  <c r="F124" i="13" s="1"/>
  <c r="D125" i="13"/>
  <c r="E125" i="13" s="1"/>
  <c r="F125" i="13" s="1"/>
  <c r="D126" i="13"/>
  <c r="E126" i="13" s="1"/>
  <c r="F126" i="13" s="1"/>
  <c r="D127" i="13"/>
  <c r="E127" i="13" s="1"/>
  <c r="F127" i="13" s="1"/>
  <c r="D128" i="13"/>
  <c r="E128" i="13" s="1"/>
  <c r="F128" i="13" s="1"/>
  <c r="D129" i="13"/>
  <c r="E129" i="13" s="1"/>
  <c r="F129" i="13" s="1"/>
  <c r="D130" i="13"/>
  <c r="E130" i="13" s="1"/>
  <c r="F130" i="13" s="1"/>
  <c r="D131" i="13"/>
  <c r="E131" i="13" s="1"/>
  <c r="F131" i="13" s="1"/>
  <c r="D132" i="13"/>
  <c r="E132" i="13" s="1"/>
  <c r="F132" i="13" s="1"/>
  <c r="D133" i="13"/>
  <c r="E133" i="13" s="1"/>
  <c r="F133" i="13" s="1"/>
  <c r="D134" i="13"/>
  <c r="E134" i="13" s="1"/>
  <c r="H134" i="13" s="1"/>
  <c r="D135" i="13"/>
  <c r="E135" i="13" s="1"/>
  <c r="H135" i="13" s="1"/>
  <c r="D136" i="13"/>
  <c r="E136" i="13" s="1"/>
  <c r="H136" i="13" s="1"/>
  <c r="D137" i="13"/>
  <c r="E137" i="13" s="1"/>
  <c r="F137" i="13" s="1"/>
  <c r="D138" i="13"/>
  <c r="E138" i="13" s="1"/>
  <c r="H138" i="13" s="1"/>
  <c r="D139" i="13"/>
  <c r="E139" i="13" s="1"/>
  <c r="H139" i="13" s="1"/>
  <c r="D140" i="13"/>
  <c r="E140" i="13" s="1"/>
  <c r="F140" i="13" s="1"/>
  <c r="D141" i="13"/>
  <c r="E141" i="13" s="1"/>
  <c r="F141" i="13" s="1"/>
  <c r="D142" i="13"/>
  <c r="E142" i="13" s="1"/>
  <c r="F142" i="13" s="1"/>
  <c r="D143" i="13"/>
  <c r="E143" i="13" s="1"/>
  <c r="F143" i="13" s="1"/>
  <c r="D144" i="13"/>
  <c r="E144" i="13" s="1"/>
  <c r="F144" i="13" s="1"/>
  <c r="D145" i="13"/>
  <c r="E145" i="13" s="1"/>
  <c r="F145" i="13" s="1"/>
  <c r="D146" i="13"/>
  <c r="E146" i="13" s="1"/>
  <c r="F146" i="13" s="1"/>
  <c r="D147" i="13"/>
  <c r="E147" i="13" s="1"/>
  <c r="F147" i="13" s="1"/>
  <c r="D148" i="13"/>
  <c r="E148" i="13" s="1"/>
  <c r="F148" i="13" s="1"/>
  <c r="D149" i="13"/>
  <c r="E149" i="13" s="1"/>
  <c r="F149" i="13" s="1"/>
  <c r="D150" i="13"/>
  <c r="E150" i="13" s="1"/>
  <c r="H150" i="13" s="1"/>
  <c r="D151" i="13"/>
  <c r="E151" i="13" s="1"/>
  <c r="H151" i="13" s="1"/>
  <c r="D152" i="13"/>
  <c r="E152" i="13" s="1"/>
  <c r="H152" i="13" s="1"/>
  <c r="D153" i="13"/>
  <c r="E153" i="13" s="1"/>
  <c r="H153" i="13" s="1"/>
  <c r="D154" i="13"/>
  <c r="E154" i="13" s="1"/>
  <c r="H154" i="13" s="1"/>
  <c r="D155" i="13"/>
  <c r="E155" i="13" s="1"/>
  <c r="H155" i="13" s="1"/>
  <c r="D156" i="13"/>
  <c r="E156" i="13" s="1"/>
  <c r="F156" i="13" s="1"/>
  <c r="D157" i="13"/>
  <c r="E157" i="13" s="1"/>
  <c r="F157" i="13" s="1"/>
  <c r="D158" i="13"/>
  <c r="E158" i="13" s="1"/>
  <c r="F158" i="13" s="1"/>
  <c r="D159" i="13"/>
  <c r="E159" i="13" s="1"/>
  <c r="F159" i="13" s="1"/>
  <c r="D160" i="13"/>
  <c r="E160" i="13" s="1"/>
  <c r="F160" i="13" s="1"/>
  <c r="H6" i="5" l="1"/>
  <c r="B28" i="5" s="1"/>
  <c r="H7" i="5"/>
  <c r="B42" i="5" s="1"/>
  <c r="O22" i="6"/>
  <c r="F22" i="6"/>
  <c r="N22" i="6" s="1"/>
  <c r="N16" i="6"/>
  <c r="O16" i="6" s="1"/>
  <c r="N6" i="6"/>
  <c r="O6" i="6" s="1"/>
  <c r="N21" i="6"/>
  <c r="O21" i="6" s="1"/>
  <c r="N13" i="6"/>
  <c r="O13" i="6" s="1"/>
  <c r="O20" i="6"/>
  <c r="N12" i="6"/>
  <c r="O12" i="6" s="1"/>
  <c r="N11" i="6"/>
  <c r="O11" i="6" s="1"/>
  <c r="N10" i="6"/>
  <c r="O10" i="6" s="1"/>
  <c r="O19" i="6"/>
  <c r="N9" i="6"/>
  <c r="O9" i="6" s="1"/>
  <c r="N8" i="6"/>
  <c r="O8" i="6" s="1"/>
  <c r="N7" i="6"/>
  <c r="O7" i="6" s="1"/>
  <c r="K22" i="6"/>
  <c r="L22" i="6" s="1"/>
  <c r="K12" i="6"/>
  <c r="L12" i="6" s="1"/>
  <c r="H11" i="14"/>
  <c r="H12" i="14"/>
  <c r="H13" i="14"/>
  <c r="H10" i="14"/>
  <c r="D16" i="14" s="1"/>
  <c r="H8" i="14"/>
  <c r="H7" i="14"/>
  <c r="H5" i="14"/>
  <c r="H4" i="14"/>
  <c r="C16" i="14" s="1"/>
  <c r="D15" i="14"/>
  <c r="D7" i="14"/>
  <c r="K11" i="6"/>
  <c r="L11" i="6" s="1"/>
  <c r="K7" i="6"/>
  <c r="L7" i="6" s="1"/>
  <c r="K8" i="6"/>
  <c r="L8" i="6" s="1"/>
  <c r="K17" i="6"/>
  <c r="L17" i="6" s="1"/>
  <c r="K9" i="6"/>
  <c r="L9" i="6" s="1"/>
  <c r="K21" i="6"/>
  <c r="L21" i="6" s="1"/>
  <c r="K13" i="6"/>
  <c r="L13" i="6" s="1"/>
  <c r="K14" i="6"/>
  <c r="L14" i="6" s="1"/>
  <c r="K15" i="6"/>
  <c r="L15" i="6" s="1"/>
  <c r="K10" i="6"/>
  <c r="L10" i="6" s="1"/>
  <c r="K20" i="6"/>
  <c r="L20" i="6" s="1"/>
  <c r="K18" i="6"/>
  <c r="L18" i="6" s="1"/>
  <c r="K19" i="6"/>
  <c r="L19" i="6" s="1"/>
  <c r="K16" i="6"/>
  <c r="L16" i="6" s="1"/>
  <c r="K6" i="6"/>
  <c r="L6" i="6" s="1"/>
  <c r="F42" i="13"/>
  <c r="F86" i="13"/>
  <c r="H73" i="13"/>
  <c r="H25" i="13"/>
  <c r="F58" i="13"/>
  <c r="H62" i="13"/>
  <c r="F57" i="13"/>
  <c r="H30" i="13"/>
  <c r="F38" i="13"/>
  <c r="H9" i="13"/>
  <c r="G153" i="13"/>
  <c r="G57" i="13"/>
  <c r="G9" i="13"/>
  <c r="F152" i="13"/>
  <c r="H144" i="13"/>
  <c r="F150" i="13"/>
  <c r="H137" i="13"/>
  <c r="F153" i="13"/>
  <c r="F134" i="13"/>
  <c r="H105" i="13"/>
  <c r="H158" i="13"/>
  <c r="F107" i="13"/>
  <c r="H94" i="13"/>
  <c r="H89" i="13"/>
  <c r="F74" i="13"/>
  <c r="F154" i="13"/>
  <c r="F71" i="13"/>
  <c r="G105" i="13"/>
  <c r="H121" i="13"/>
  <c r="H41" i="13"/>
  <c r="G68" i="13"/>
  <c r="H116" i="13"/>
  <c r="H32" i="13"/>
  <c r="H112" i="13"/>
  <c r="F151" i="13"/>
  <c r="F52" i="13"/>
  <c r="G19" i="13"/>
  <c r="H110" i="13"/>
  <c r="F135" i="13"/>
  <c r="H96" i="13"/>
  <c r="F40" i="13"/>
  <c r="H160" i="13"/>
  <c r="F120" i="13"/>
  <c r="F119" i="13"/>
  <c r="F26" i="13"/>
  <c r="H80" i="13"/>
  <c r="F118" i="13"/>
  <c r="H148" i="13"/>
  <c r="H78" i="13"/>
  <c r="F20" i="13"/>
  <c r="F10" i="13"/>
  <c r="H142" i="13"/>
  <c r="H64" i="13"/>
  <c r="F75" i="13"/>
  <c r="F8" i="13"/>
  <c r="H132" i="13"/>
  <c r="H128" i="13"/>
  <c r="H48" i="13"/>
  <c r="G137" i="13"/>
  <c r="H126" i="13"/>
  <c r="H46" i="13"/>
  <c r="F155" i="13"/>
  <c r="F87" i="13"/>
  <c r="F53" i="13"/>
  <c r="F21" i="13"/>
  <c r="G121" i="13"/>
  <c r="G69" i="13"/>
  <c r="G20" i="13"/>
  <c r="H149" i="13"/>
  <c r="H133" i="13"/>
  <c r="H117" i="13"/>
  <c r="H101" i="13"/>
  <c r="H85" i="13"/>
  <c r="H69" i="13"/>
  <c r="H37" i="13"/>
  <c r="H84" i="13"/>
  <c r="H68" i="13"/>
  <c r="H36" i="13"/>
  <c r="F43" i="13"/>
  <c r="F11" i="13"/>
  <c r="G116" i="13"/>
  <c r="G67" i="13"/>
  <c r="G18" i="13"/>
  <c r="H147" i="13"/>
  <c r="H131" i="13"/>
  <c r="H115" i="13"/>
  <c r="H99" i="13"/>
  <c r="H83" i="13"/>
  <c r="H67" i="13"/>
  <c r="H51" i="13"/>
  <c r="H35" i="13"/>
  <c r="H19" i="13"/>
  <c r="G115" i="13"/>
  <c r="G66" i="13"/>
  <c r="H146" i="13"/>
  <c r="H130" i="13"/>
  <c r="H114" i="13"/>
  <c r="H98" i="13"/>
  <c r="H82" i="13"/>
  <c r="H66" i="13"/>
  <c r="H50" i="13"/>
  <c r="H34" i="13"/>
  <c r="H18" i="13"/>
  <c r="G114" i="13"/>
  <c r="H145" i="13"/>
  <c r="H129" i="13"/>
  <c r="H113" i="13"/>
  <c r="H97" i="13"/>
  <c r="H81" i="13"/>
  <c r="H65" i="13"/>
  <c r="H49" i="13"/>
  <c r="H33" i="13"/>
  <c r="H17" i="13"/>
  <c r="G53" i="13"/>
  <c r="H16" i="13"/>
  <c r="H100" i="13"/>
  <c r="F106" i="13"/>
  <c r="F72" i="13"/>
  <c r="F39" i="13"/>
  <c r="F7" i="13"/>
  <c r="G101" i="13"/>
  <c r="G52" i="13"/>
  <c r="H159" i="13"/>
  <c r="H143" i="13"/>
  <c r="H127" i="13"/>
  <c r="H111" i="13"/>
  <c r="H95" i="13"/>
  <c r="H79" i="13"/>
  <c r="H63" i="13"/>
  <c r="H47" i="13"/>
  <c r="H31" i="13"/>
  <c r="H15" i="13"/>
  <c r="H14" i="13"/>
  <c r="F138" i="13"/>
  <c r="F104" i="13"/>
  <c r="F70" i="13"/>
  <c r="G149" i="13"/>
  <c r="G99" i="13"/>
  <c r="G50" i="13"/>
  <c r="H157" i="13"/>
  <c r="H141" i="13"/>
  <c r="H125" i="13"/>
  <c r="H109" i="13"/>
  <c r="H93" i="13"/>
  <c r="H77" i="13"/>
  <c r="H61" i="13"/>
  <c r="H45" i="13"/>
  <c r="H29" i="13"/>
  <c r="H13" i="13"/>
  <c r="F139" i="13"/>
  <c r="G100" i="13"/>
  <c r="G51" i="13"/>
  <c r="F103" i="13"/>
  <c r="G148" i="13"/>
  <c r="G98" i="13"/>
  <c r="G41" i="13"/>
  <c r="H156" i="13"/>
  <c r="H140" i="13"/>
  <c r="H124" i="13"/>
  <c r="H108" i="13"/>
  <c r="H92" i="13"/>
  <c r="H76" i="13"/>
  <c r="H60" i="13"/>
  <c r="H44" i="13"/>
  <c r="H28" i="13"/>
  <c r="H12" i="13"/>
  <c r="G117" i="13"/>
  <c r="F136" i="13"/>
  <c r="F102" i="13"/>
  <c r="F59" i="13"/>
  <c r="F27" i="13"/>
  <c r="G146" i="13"/>
  <c r="G89" i="13"/>
  <c r="G37" i="13"/>
  <c r="H123" i="13"/>
  <c r="H91" i="13"/>
  <c r="G85" i="13"/>
  <c r="G36" i="13"/>
  <c r="H122" i="13"/>
  <c r="H90" i="13"/>
  <c r="G84" i="13"/>
  <c r="G35" i="13"/>
  <c r="F56" i="13"/>
  <c r="F24" i="13"/>
  <c r="G132" i="13"/>
  <c r="G83" i="13"/>
  <c r="G34" i="13"/>
  <c r="H88" i="13"/>
  <c r="F55" i="13"/>
  <c r="F23" i="13"/>
  <c r="G131" i="13"/>
  <c r="G82" i="13"/>
  <c r="G25" i="13"/>
  <c r="G133" i="13"/>
  <c r="F54" i="13"/>
  <c r="F22" i="13"/>
  <c r="G130" i="13"/>
  <c r="G73" i="13"/>
  <c r="G21" i="13"/>
  <c r="G147" i="13"/>
  <c r="G145" i="13"/>
  <c r="G129" i="13"/>
  <c r="G113" i="13"/>
  <c r="G97" i="13"/>
  <c r="G81" i="13"/>
  <c r="G65" i="13"/>
  <c r="G49" i="13"/>
  <c r="G33" i="13"/>
  <c r="G17" i="13"/>
  <c r="G160" i="13"/>
  <c r="G144" i="13"/>
  <c r="G128" i="13"/>
  <c r="G112" i="13"/>
  <c r="G96" i="13"/>
  <c r="G80" i="13"/>
  <c r="G64" i="13"/>
  <c r="G48" i="13"/>
  <c r="G32" i="13"/>
  <c r="G16" i="13"/>
  <c r="G127" i="13"/>
  <c r="G111" i="13"/>
  <c r="G95" i="13"/>
  <c r="G79" i="13"/>
  <c r="G63" i="13"/>
  <c r="G47" i="13"/>
  <c r="G31" i="13"/>
  <c r="G15" i="13"/>
  <c r="G94" i="13"/>
  <c r="G46" i="13"/>
  <c r="G30" i="13"/>
  <c r="G14" i="13"/>
  <c r="G143" i="13"/>
  <c r="G110" i="13"/>
  <c r="G157" i="13"/>
  <c r="G141" i="13"/>
  <c r="G125" i="13"/>
  <c r="G109" i="13"/>
  <c r="G93" i="13"/>
  <c r="G77" i="13"/>
  <c r="G61" i="13"/>
  <c r="G45" i="13"/>
  <c r="G29" i="13"/>
  <c r="G13" i="13"/>
  <c r="G158" i="13"/>
  <c r="G78" i="13"/>
  <c r="G156" i="13"/>
  <c r="G140" i="13"/>
  <c r="G124" i="13"/>
  <c r="G108" i="13"/>
  <c r="G92" i="13"/>
  <c r="G76" i="13"/>
  <c r="G60" i="13"/>
  <c r="G44" i="13"/>
  <c r="G28" i="13"/>
  <c r="G12" i="13"/>
  <c r="G159" i="13"/>
  <c r="G142" i="13"/>
  <c r="G155" i="13"/>
  <c r="G139" i="13"/>
  <c r="G123" i="13"/>
  <c r="G107" i="13"/>
  <c r="G91" i="13"/>
  <c r="G75" i="13"/>
  <c r="G59" i="13"/>
  <c r="G43" i="13"/>
  <c r="G27" i="13"/>
  <c r="G11" i="13"/>
  <c r="G126" i="13"/>
  <c r="G62" i="13"/>
  <c r="G154" i="13"/>
  <c r="G138" i="13"/>
  <c r="G122" i="13"/>
  <c r="G106" i="13"/>
  <c r="G90" i="13"/>
  <c r="G74" i="13"/>
  <c r="G58" i="13"/>
  <c r="G42" i="13"/>
  <c r="G26" i="13"/>
  <c r="G10" i="13"/>
  <c r="G152" i="13"/>
  <c r="G136" i="13"/>
  <c r="G120" i="13"/>
  <c r="G104" i="13"/>
  <c r="G88" i="13"/>
  <c r="G72" i="13"/>
  <c r="G56" i="13"/>
  <c r="G40" i="13"/>
  <c r="G24" i="13"/>
  <c r="G8" i="13"/>
  <c r="G151" i="13"/>
  <c r="G135" i="13"/>
  <c r="G119" i="13"/>
  <c r="G103" i="13"/>
  <c r="G87" i="13"/>
  <c r="G71" i="13"/>
  <c r="G55" i="13"/>
  <c r="G39" i="13"/>
  <c r="G23" i="13"/>
  <c r="G7" i="13"/>
  <c r="G150" i="13"/>
  <c r="G134" i="13"/>
  <c r="G118" i="13"/>
  <c r="G102" i="13"/>
  <c r="G86" i="13"/>
  <c r="G70" i="13"/>
  <c r="G54" i="13"/>
  <c r="G38" i="13"/>
  <c r="G22" i="13"/>
  <c r="E6" i="13"/>
  <c r="D10" i="14" l="1"/>
  <c r="D13" i="14"/>
  <c r="C5" i="14"/>
  <c r="C19" i="14"/>
  <c r="D5" i="14"/>
  <c r="D19" i="14"/>
  <c r="C6" i="14"/>
  <c r="D6" i="14"/>
  <c r="D20" i="14"/>
  <c r="C8" i="14"/>
  <c r="C20" i="14"/>
  <c r="D8" i="14"/>
  <c r="C12" i="14"/>
  <c r="D12" i="14"/>
  <c r="C10" i="14"/>
  <c r="C13" i="14"/>
  <c r="C9" i="14"/>
  <c r="C7" i="14"/>
  <c r="C15" i="14"/>
  <c r="D9" i="14"/>
  <c r="C11" i="14"/>
  <c r="D11" i="14"/>
  <c r="C17" i="14"/>
  <c r="D17" i="14"/>
  <c r="C14" i="14"/>
  <c r="D14" i="14"/>
  <c r="C18" i="14"/>
  <c r="C4" i="14"/>
  <c r="D18" i="14"/>
  <c r="D4" i="14"/>
  <c r="F6" i="13"/>
  <c r="H6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1A8B9C-A258-4530-B03D-AAC2FC8DCB5F}" keepAlive="1" name="Query - Product-author+data" description="Connection to the 'Product-author+data' query in the workbook." type="5" refreshedVersion="0" background="1" saveData="1">
    <dbPr connection="Provider=Microsoft.Mashup.OleDb.1;Data Source=$Workbook$;Location=Product-author+data;Extended Properties=&quot;&quot;" command="SELECT * FROM [Product-author+data]"/>
  </connection>
  <connection id="2" xr16:uid="{EE6A18A5-F8C5-4FE2-81B0-1D94B21967F9}" keepAlive="1" name="Query - Product-author+data (2)" description="Connection to the 'Product-author+data (2)' query in the workbook." type="5" refreshedVersion="0" background="1" saveData="1">
    <dbPr connection="Provider=Microsoft.Mashup.OleDb.1;Data Source=$Workbook$;Location=&quot;Product-author+data (2)&quot;;Extended Properties=&quot;&quot;" command="SELECT * FROM [Product-author+data (2)]"/>
  </connection>
  <connection id="3" xr16:uid="{497B6B75-70BF-4C11-AD31-94FE1531A358}" keepAlive="1" name="Query - Product-author+data (3)" description="Connection to the 'Product-author+data (3)' query in the workbook." type="5" refreshedVersion="8" background="1" saveData="1">
    <dbPr connection="Provider=Microsoft.Mashup.OleDb.1;Data Source=$Workbook$;Location=&quot;Product-author+data (3)&quot;;Extended Properties=&quot;&quot;" command="SELECT * FROM [Product-author+data (3)]"/>
  </connection>
  <connection id="4" xr16:uid="{B6761D1E-88B3-4113-9902-09B289E15630}" keepAlive="1" name="Query - Sheet 1" description="Connection to the 'Sheet 1' query in the workbook." type="5" refreshedVersion="0" background="1" saveData="1">
    <dbPr connection="Provider=Microsoft.Mashup.OleDb.1;Data Source=$Workbook$;Location=&quot;Sheet 1&quot;;Extended Properties=&quot;&quot;" command="SELECT * FROM [Sheet 1]"/>
  </connection>
</connections>
</file>

<file path=xl/sharedStrings.xml><?xml version="1.0" encoding="utf-8"?>
<sst xmlns="http://schemas.openxmlformats.org/spreadsheetml/2006/main" count="2581" uniqueCount="182">
  <si>
    <t>About this spreadsheet</t>
  </si>
  <si>
    <t>Purpose</t>
  </si>
  <si>
    <t>Color coding</t>
  </si>
  <si>
    <t>Author</t>
  </si>
  <si>
    <t>Version</t>
  </si>
  <si>
    <t>Determine the most attractive category to launch an educational video in</t>
  </si>
  <si>
    <t>Raw data and text</t>
  </si>
  <si>
    <t>Calculations</t>
  </si>
  <si>
    <t>Assumptions</t>
  </si>
  <si>
    <t>Headings</t>
  </si>
  <si>
    <t>Black</t>
  </si>
  <si>
    <t>Maroon</t>
  </si>
  <si>
    <t>Blue</t>
  </si>
  <si>
    <t>Green</t>
  </si>
  <si>
    <t>Saikat, sb5xa@virginia.edu</t>
  </si>
  <si>
    <t>Outlined the model</t>
  </si>
  <si>
    <t>Market size</t>
  </si>
  <si>
    <t>Summary</t>
  </si>
  <si>
    <t>Category</t>
  </si>
  <si>
    <t>Course ID</t>
  </si>
  <si>
    <t>Level</t>
  </si>
  <si>
    <t>Year 1 revenue</t>
  </si>
  <si>
    <t>Year 2 H1 revenue</t>
  </si>
  <si>
    <t>Year 1 units</t>
  </si>
  <si>
    <t>Year 2 H1 units</t>
  </si>
  <si>
    <t>MS Excel</t>
  </si>
  <si>
    <t>Intermediate</t>
  </si>
  <si>
    <t>Beginner</t>
  </si>
  <si>
    <t>Sewing</t>
  </si>
  <si>
    <t>Advanced</t>
  </si>
  <si>
    <t>Quilting</t>
  </si>
  <si>
    <t>Web coding</t>
  </si>
  <si>
    <t>Photography</t>
  </si>
  <si>
    <t>Design</t>
  </si>
  <si>
    <t>Productivity</t>
  </si>
  <si>
    <t>Nutrition</t>
  </si>
  <si>
    <t>Dating</t>
  </si>
  <si>
    <t>Animation</t>
  </si>
  <si>
    <t>Blogging</t>
  </si>
  <si>
    <t>Startups</t>
  </si>
  <si>
    <t>Speechmaking</t>
  </si>
  <si>
    <t>Video editing</t>
  </si>
  <si>
    <t>Wireframing</t>
  </si>
  <si>
    <t>Guitar</t>
  </si>
  <si>
    <t>Interviewing</t>
  </si>
  <si>
    <t>Sales data</t>
  </si>
  <si>
    <t xml:space="preserve"> Lastname</t>
  </si>
  <si>
    <t xml:space="preserve"> Firstname</t>
  </si>
  <si>
    <t xml:space="preserve">jones  </t>
  </si>
  <si>
    <t xml:space="preserve">michael </t>
  </si>
  <si>
    <t xml:space="preserve">nacho  </t>
  </si>
  <si>
    <t xml:space="preserve">ana </t>
  </si>
  <si>
    <t xml:space="preserve">silver  </t>
  </si>
  <si>
    <t xml:space="preserve">john </t>
  </si>
  <si>
    <t xml:space="preserve">soomin  </t>
  </si>
  <si>
    <t xml:space="preserve">liz </t>
  </si>
  <si>
    <t xml:space="preserve">kane  </t>
  </si>
  <si>
    <t xml:space="preserve">phil </t>
  </si>
  <si>
    <t xml:space="preserve">lee  </t>
  </si>
  <si>
    <t xml:space="preserve">angie </t>
  </si>
  <si>
    <t xml:space="preserve">lim  </t>
  </si>
  <si>
    <t xml:space="preserve">andrew </t>
  </si>
  <si>
    <t xml:space="preserve">gulady  </t>
  </si>
  <si>
    <t xml:space="preserve">daniel </t>
  </si>
  <si>
    <t xml:space="preserve">bison  </t>
  </si>
  <si>
    <t xml:space="preserve">helen </t>
  </si>
  <si>
    <t xml:space="preserve">long  </t>
  </si>
  <si>
    <t xml:space="preserve">reuben </t>
  </si>
  <si>
    <t xml:space="preserve">straw  </t>
  </si>
  <si>
    <t xml:space="preserve">melissa </t>
  </si>
  <si>
    <t xml:space="preserve">grau  </t>
  </si>
  <si>
    <t xml:space="preserve">james </t>
  </si>
  <si>
    <t xml:space="preserve">sparrow  </t>
  </si>
  <si>
    <t xml:space="preserve">jack </t>
  </si>
  <si>
    <t xml:space="preserve">monteiro  </t>
  </si>
  <si>
    <t xml:space="preserve">erin </t>
  </si>
  <si>
    <t xml:space="preserve">yowie  </t>
  </si>
  <si>
    <t xml:space="preserve">shaun </t>
  </si>
  <si>
    <t xml:space="preserve">walters  </t>
  </si>
  <si>
    <t xml:space="preserve">evelyn </t>
  </si>
  <si>
    <t xml:space="preserve">loon  </t>
  </si>
  <si>
    <t xml:space="preserve">susan </t>
  </si>
  <si>
    <t xml:space="preserve">furlong  </t>
  </si>
  <si>
    <t xml:space="preserve">jenny </t>
  </si>
  <si>
    <t xml:space="preserve">learning  </t>
  </si>
  <si>
    <t xml:space="preserve">unlimited </t>
  </si>
  <si>
    <t xml:space="preserve">fox  </t>
  </si>
  <si>
    <t>Count of Course ID</t>
  </si>
  <si>
    <t>Author data</t>
  </si>
  <si>
    <t>Concatenate first and last</t>
  </si>
  <si>
    <t>Proper names</t>
  </si>
  <si>
    <t>Capitals</t>
  </si>
  <si>
    <t>Lower</t>
  </si>
  <si>
    <t>Trimmed</t>
  </si>
  <si>
    <t>All-in-one</t>
  </si>
  <si>
    <t>Left</t>
  </si>
  <si>
    <t>Right</t>
  </si>
  <si>
    <t>Mid</t>
  </si>
  <si>
    <t>Len</t>
  </si>
  <si>
    <t>Search</t>
  </si>
  <si>
    <t>Author Name</t>
  </si>
  <si>
    <t># courses</t>
  </si>
  <si>
    <t>Michael Jones</t>
  </si>
  <si>
    <t>Row Labels</t>
  </si>
  <si>
    <t>Ana Nacho</t>
  </si>
  <si>
    <t>Andrew Fox</t>
  </si>
  <si>
    <t>Andrew Lim</t>
  </si>
  <si>
    <t>Angie Lee</t>
  </si>
  <si>
    <t>Daniel Gulady</t>
  </si>
  <si>
    <t>Erin Monteiro</t>
  </si>
  <si>
    <t>Evelyn Walters</t>
  </si>
  <si>
    <t>Helen Bison</t>
  </si>
  <si>
    <t>Jack Sparrow</t>
  </si>
  <si>
    <t>James Grau</t>
  </si>
  <si>
    <t>Jenny Furlong</t>
  </si>
  <si>
    <t>John Silver</t>
  </si>
  <si>
    <t>Liz Soomin</t>
  </si>
  <si>
    <t>Melissa Straw</t>
  </si>
  <si>
    <t>Phil Kane</t>
  </si>
  <si>
    <t>Reuben Long</t>
  </si>
  <si>
    <t>Shaun Yowie</t>
  </si>
  <si>
    <t>Susan Loon</t>
  </si>
  <si>
    <t>Unlimited Learning</t>
  </si>
  <si>
    <t>Grand Total</t>
  </si>
  <si>
    <t>Sum of Year 1 revenue</t>
  </si>
  <si>
    <t>Column Labels</t>
  </si>
  <si>
    <t>Sum of Year 2 H1 revenue</t>
  </si>
  <si>
    <t>Expected year 2 revenue</t>
  </si>
  <si>
    <t>Year 1-2 growth</t>
  </si>
  <si>
    <t>1. Market size and growth by category</t>
  </si>
  <si>
    <t>2. Revenue by author and category</t>
  </si>
  <si>
    <t>3. Rank by author within category</t>
  </si>
  <si>
    <t>#1</t>
  </si>
  <si>
    <t>Author names by rank</t>
  </si>
  <si>
    <t>Revenue of top authors</t>
  </si>
  <si>
    <t xml:space="preserve"> </t>
  </si>
  <si>
    <t>Top author revenue</t>
  </si>
  <si>
    <t>As % of market</t>
  </si>
  <si>
    <t>If yes, please indicate which topics you would be interested in:</t>
  </si>
  <si>
    <t>Respondent</t>
  </si>
  <si>
    <t>Would you be interested in buying access to online education videos in future?</t>
  </si>
  <si>
    <t>n/a</t>
  </si>
  <si>
    <t>Yes</t>
  </si>
  <si>
    <t>No</t>
  </si>
  <si>
    <t>Survey data</t>
  </si>
  <si>
    <t>Total Yes's</t>
  </si>
  <si>
    <t>Summary statistics</t>
  </si>
  <si>
    <t>Average</t>
  </si>
  <si>
    <t>Median</t>
  </si>
  <si>
    <t>Range</t>
  </si>
  <si>
    <t>Low</t>
  </si>
  <si>
    <t>High</t>
  </si>
  <si>
    <t>Quartiles</t>
  </si>
  <si>
    <t>Rating</t>
  </si>
  <si>
    <t>Quartile</t>
  </si>
  <si>
    <t>Growth boost</t>
  </si>
  <si>
    <t>Growth Boost</t>
  </si>
  <si>
    <t>Expected Year 2-3 growth</t>
  </si>
  <si>
    <t>Expected year 3 revenue</t>
  </si>
  <si>
    <t>Script</t>
  </si>
  <si>
    <t>Video production</t>
  </si>
  <si>
    <t>Author scripting fee (hours)</t>
  </si>
  <si>
    <t>Script editing time (hours)</t>
  </si>
  <si>
    <t>Studio costs (per day)</t>
  </si>
  <si>
    <t>Author costs (per day)</t>
  </si>
  <si>
    <t>Director/producer/audio (per day)</t>
  </si>
  <si>
    <t>Post production editing (hours)</t>
  </si>
  <si>
    <t>Units</t>
  </si>
  <si>
    <t>Unit cost</t>
  </si>
  <si>
    <t>Cost data</t>
  </si>
  <si>
    <t>Total costs</t>
  </si>
  <si>
    <t>1. Profit potential of top categories</t>
  </si>
  <si>
    <t>Year 3 projected revenue</t>
  </si>
  <si>
    <t>Market share target</t>
  </si>
  <si>
    <t>Revenue target</t>
  </si>
  <si>
    <t>Expected costs</t>
  </si>
  <si>
    <t>Cost contingency</t>
  </si>
  <si>
    <t>Costs including contingency</t>
  </si>
  <si>
    <t>Expected profit</t>
  </si>
  <si>
    <t>2a. Scenarios of blogging profit</t>
  </si>
  <si>
    <t>Market share assumptions</t>
  </si>
  <si>
    <t>2b. Scenarios of speechmaking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</si>
</sst>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[$$-409]* #,##0.00_);_([$$-409]* \(#,##0.00\);_([$$-409]* &quot;-&quot;??_);_(@_)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4" fillId="0" borderId="0" xfId="0" applyFont="1"/>
    <xf numFmtId="0" fontId="2" fillId="0" borderId="0" xfId="0" applyFont="1" applyAlignment="1">
      <alignment horizontal="left" indent="1"/>
    </xf>
    <xf numFmtId="0" fontId="5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0" fontId="4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left" wrapText="1"/>
    </xf>
    <xf numFmtId="164" fontId="0" fillId="0" borderId="0" xfId="1" applyNumberFormat="1" applyFont="1"/>
    <xf numFmtId="0" fontId="7" fillId="0" borderId="0" xfId="0" applyFont="1"/>
    <xf numFmtId="0" fontId="2" fillId="0" borderId="0" xfId="0" applyFont="1" applyAlignment="1">
      <alignment horizontal="left" wrapText="1"/>
    </xf>
    <xf numFmtId="0" fontId="8" fillId="0" borderId="0" xfId="0" applyFont="1"/>
    <xf numFmtId="43" fontId="7" fillId="0" borderId="0" xfId="1" applyFont="1"/>
    <xf numFmtId="0" fontId="0" fillId="0" borderId="0" xfId="0" pivotButton="1"/>
    <xf numFmtId="0" fontId="0" fillId="0" borderId="0" xfId="0" applyAlignment="1">
      <alignment horizontal="left" indent="1"/>
    </xf>
    <xf numFmtId="43" fontId="0" fillId="0" borderId="0" xfId="0" applyNumberFormat="1"/>
    <xf numFmtId="43" fontId="7" fillId="0" borderId="0" xfId="0" applyNumberFormat="1" applyFont="1"/>
    <xf numFmtId="9" fontId="7" fillId="0" borderId="0" xfId="2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Continuous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9" fontId="0" fillId="0" borderId="0" xfId="2" applyFont="1"/>
    <xf numFmtId="0" fontId="0" fillId="0" borderId="0" xfId="0" applyAlignment="1">
      <alignment horizontal="left" wrapText="1"/>
    </xf>
    <xf numFmtId="0" fontId="0" fillId="0" borderId="0" xfId="0" applyAlignment="1">
      <alignment horizontal="center" wrapText="1"/>
    </xf>
    <xf numFmtId="0" fontId="7" fillId="0" borderId="0" xfId="0" applyFont="1" applyAlignment="1">
      <alignment horizontal="left"/>
    </xf>
    <xf numFmtId="164" fontId="7" fillId="0" borderId="0" xfId="1" applyNumberFormat="1" applyFont="1"/>
    <xf numFmtId="0" fontId="7" fillId="0" borderId="0" xfId="0" applyFont="1" applyAlignment="1">
      <alignment horizontal="center"/>
    </xf>
    <xf numFmtId="9" fontId="8" fillId="0" borderId="0" xfId="2" applyFont="1"/>
    <xf numFmtId="9" fontId="7" fillId="0" borderId="0" xfId="2" applyFont="1" applyAlignment="1">
      <alignment horizontal="center"/>
    </xf>
    <xf numFmtId="9" fontId="0" fillId="0" borderId="0" xfId="0" applyNumberFormat="1"/>
    <xf numFmtId="9" fontId="7" fillId="0" borderId="0" xfId="0" applyNumberFormat="1" applyFont="1"/>
    <xf numFmtId="164" fontId="1" fillId="0" borderId="0" xfId="3" applyNumberFormat="1" applyFont="1" applyBorder="1"/>
    <xf numFmtId="165" fontId="0" fillId="0" borderId="0" xfId="0" applyNumberFormat="1"/>
    <xf numFmtId="44" fontId="1" fillId="0" borderId="0" xfId="4" applyFont="1" applyBorder="1"/>
    <xf numFmtId="0" fontId="0" fillId="0" borderId="1" xfId="0" applyBorder="1"/>
    <xf numFmtId="0" fontId="0" fillId="0" borderId="1" xfId="0" applyBorder="1" applyAlignment="1">
      <alignment horizontal="left" wrapText="1"/>
    </xf>
    <xf numFmtId="165" fontId="0" fillId="0" borderId="1" xfId="0" applyNumberFormat="1" applyBorder="1"/>
    <xf numFmtId="44" fontId="1" fillId="0" borderId="1" xfId="4" applyFont="1" applyBorder="1"/>
    <xf numFmtId="9" fontId="8" fillId="0" borderId="0" xfId="0" applyNumberFormat="1" applyFont="1"/>
    <xf numFmtId="166" fontId="0" fillId="0" borderId="0" xfId="0" applyNumberFormat="1"/>
    <xf numFmtId="0" fontId="2" fillId="0" borderId="0" xfId="0" applyFont="1" applyAlignment="1">
      <alignment horizontal="right"/>
    </xf>
    <xf numFmtId="10" fontId="8" fillId="0" borderId="0" xfId="0" applyNumberFormat="1" applyFont="1"/>
    <xf numFmtId="166" fontId="8" fillId="0" borderId="0" xfId="0" applyNumberFormat="1" applyFont="1"/>
  </cellXfs>
  <cellStyles count="5">
    <cellStyle name="Comma" xfId="1" builtinId="3"/>
    <cellStyle name="Comma 2" xfId="3" xr:uid="{92729F23-B45F-4847-9212-53C969796316}"/>
    <cellStyle name="Currency 2" xfId="4" xr:uid="{2B10A977-001A-4091-92C1-9F53AAB75486}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general" vertical="bottom" textRotation="0" wrapText="1" indent="0" justifyLastLine="0" shrinkToFit="0" readingOrder="0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swers.acnielsen.com/Documents%20and%20Settings/eidsonde01/Local%20Settings/Temp/Trended%20Volume%20&amp;%20Share%20Report%20V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igation"/>
      <sheetName val="Print Options"/>
      <sheetName val="Latest 13 Weeks"/>
      <sheetName val="Latest 13 Months"/>
      <sheetName val="Dropdowns"/>
      <sheetName val="Trended Volume &amp; Share Report V"/>
    </sheetNames>
    <sheetDataSet>
      <sheetData sheetId="0" refreshError="1"/>
      <sheetData sheetId="1" refreshError="1"/>
      <sheetData sheetId="2"/>
      <sheetData sheetId="3" refreshError="1"/>
      <sheetData sheetId="4">
        <row r="3">
          <cell r="G3" t="str">
            <v>NAVIGATION</v>
          </cell>
        </row>
        <row r="4">
          <cell r="G4" t="str">
            <v>LATEST 13 WEEKS</v>
          </cell>
        </row>
        <row r="5">
          <cell r="G5" t="str">
            <v>LATEST 13 MONTHS</v>
          </cell>
        </row>
        <row r="6">
          <cell r="G6" t="str">
            <v>PRINT OPTIONS</v>
          </cell>
        </row>
      </sheetData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ka" refreshedDate="45273.624656365741" createdVersion="8" refreshedVersion="8" minRefreshableVersion="3" recordCount="155" xr:uid="{799EC701-3281-4CD7-A339-123533248DA9}">
  <cacheSource type="worksheet">
    <worksheetSource ref="A3:H158" sheet="Sales"/>
  </cacheSource>
  <cacheFields count="8">
    <cacheField name="Category" numFmtId="0">
      <sharedItems count="17">
        <s v="MS Excel"/>
        <s v="Sewing"/>
        <s v="Quilting"/>
        <s v="Web coding"/>
        <s v="Photography"/>
        <s v="Design"/>
        <s v="Productivity"/>
        <s v="Nutrition"/>
        <s v="Dating"/>
        <s v="Animation"/>
        <s v="Blogging"/>
        <s v="Startups"/>
        <s v="Speechmaking"/>
        <s v="Video editing"/>
        <s v="Wireframing"/>
        <s v="Guitar"/>
        <s v="Interviewing"/>
      </sharedItems>
    </cacheField>
    <cacheField name="Course ID" numFmtId="0">
      <sharedItems containsSemiMixedTypes="0" containsString="0" containsNumber="1" containsInteger="1" minValue="1061527" maxValue="9991644"/>
    </cacheField>
    <cacheField name="Author Name" numFmtId="0">
      <sharedItems count="20">
        <s v="Michael Jones"/>
        <s v="Ana Nacho"/>
        <s v="John Silver"/>
        <s v="Liz Soomin"/>
        <s v="Phil Kane"/>
        <s v="Angie Lee"/>
        <s v="Andrew Lim"/>
        <s v="Daniel Gulady"/>
        <s v="Helen Bison"/>
        <s v="Reuben Long"/>
        <s v="Melissa Straw"/>
        <s v="James Grau"/>
        <s v="Jack Sparrow"/>
        <s v="Erin Monteiro"/>
        <s v="Shaun Yowie"/>
        <s v="Evelyn Walters"/>
        <s v="Susan Loon"/>
        <s v="Jenny Furlong"/>
        <s v="Unlimited Learning"/>
        <s v="Andrew Fox"/>
      </sharedItems>
    </cacheField>
    <cacheField name="Level" numFmtId="0">
      <sharedItems count="3">
        <s v="Intermediate"/>
        <s v="Beginner"/>
        <s v="Advanced"/>
      </sharedItems>
    </cacheField>
    <cacheField name="Year 1 revenue" numFmtId="164">
      <sharedItems containsSemiMixedTypes="0" containsString="0" containsNumber="1" minValue="10493" maxValue="125014.5"/>
    </cacheField>
    <cacheField name="Year 2 H1 revenue" numFmtId="164">
      <sharedItems containsSemiMixedTypes="0" containsString="0" containsNumber="1" minValue="5756.5" maxValue="112513.05"/>
    </cacheField>
    <cacheField name="Year 1 units" numFmtId="164">
      <sharedItems containsSemiMixedTypes="0" containsString="0" containsNumber="1" minValue="220" maxValue="8092"/>
    </cacheField>
    <cacheField name="Year 2 H1 units" numFmtId="164">
      <sharedItems containsSemiMixedTypes="0" containsString="0" containsNumber="1" minValue="105" maxValue="246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">
  <r>
    <x v="0"/>
    <n v="8262231"/>
    <x v="0"/>
    <x v="0"/>
    <n v="77609"/>
    <n v="56654.57"/>
    <n v="1688"/>
    <n v="1990"/>
  </r>
  <r>
    <x v="0"/>
    <n v="2630173"/>
    <x v="1"/>
    <x v="1"/>
    <n v="80092"/>
    <n v="40046"/>
    <n v="7282"/>
    <n v="1484"/>
  </r>
  <r>
    <x v="0"/>
    <n v="4294093"/>
    <x v="2"/>
    <x v="1"/>
    <n v="84511"/>
    <n v="42255.5"/>
    <n v="1838"/>
    <n v="693"/>
  </r>
  <r>
    <x v="0"/>
    <n v="7612474"/>
    <x v="3"/>
    <x v="1"/>
    <n v="46259"/>
    <n v="23129.5"/>
    <n v="785"/>
    <n v="473"/>
  </r>
  <r>
    <x v="0"/>
    <n v="7610928"/>
    <x v="4"/>
    <x v="0"/>
    <n v="38349"/>
    <n v="27994.77"/>
    <n v="936"/>
    <n v="799"/>
  </r>
  <r>
    <x v="0"/>
    <n v="7051703"/>
    <x v="2"/>
    <x v="1"/>
    <n v="23248"/>
    <n v="11624"/>
    <n v="1368"/>
    <n v="315"/>
  </r>
  <r>
    <x v="0"/>
    <n v="7972207"/>
    <x v="5"/>
    <x v="0"/>
    <n v="89486"/>
    <n v="44743"/>
    <n v="2183"/>
    <n v="1119"/>
  </r>
  <r>
    <x v="0"/>
    <n v="8878879"/>
    <x v="1"/>
    <x v="1"/>
    <n v="58528"/>
    <n v="39213.760000000002"/>
    <n v="901"/>
    <n v="861"/>
  </r>
  <r>
    <x v="0"/>
    <n v="5228531"/>
    <x v="6"/>
    <x v="0"/>
    <n v="22616"/>
    <n v="18318.960000000003"/>
    <n v="333"/>
    <n v="390"/>
  </r>
  <r>
    <x v="0"/>
    <n v="5772111"/>
    <x v="7"/>
    <x v="0"/>
    <n v="39783"/>
    <n v="32224.230000000003"/>
    <n v="2842"/>
    <n v="9946"/>
  </r>
  <r>
    <x v="1"/>
    <n v="9678217"/>
    <x v="4"/>
    <x v="2"/>
    <n v="97003"/>
    <n v="82452.55"/>
    <n v="4851"/>
    <n v="5390"/>
  </r>
  <r>
    <x v="1"/>
    <n v="2902210"/>
    <x v="8"/>
    <x v="0"/>
    <n v="21285"/>
    <n v="18092.25"/>
    <n v="609"/>
    <n v="463"/>
  </r>
  <r>
    <x v="1"/>
    <n v="4628535"/>
    <x v="0"/>
    <x v="2"/>
    <n v="18625"/>
    <n v="9312.5"/>
    <n v="270"/>
    <n v="130"/>
  </r>
  <r>
    <x v="1"/>
    <n v="4102117"/>
    <x v="9"/>
    <x v="0"/>
    <n v="28314"/>
    <n v="14157"/>
    <n v="346"/>
    <n v="153"/>
  </r>
  <r>
    <x v="2"/>
    <n v="2305534"/>
    <x v="10"/>
    <x v="0"/>
    <n v="85414"/>
    <n v="55519.1"/>
    <n v="900"/>
    <n v="929"/>
  </r>
  <r>
    <x v="2"/>
    <n v="4715729"/>
    <x v="3"/>
    <x v="1"/>
    <n v="69140"/>
    <n v="56694.799999999996"/>
    <n v="961"/>
    <n v="795"/>
  </r>
  <r>
    <x v="2"/>
    <n v="1524312"/>
    <x v="3"/>
    <x v="1"/>
    <n v="46449"/>
    <n v="23224.5"/>
    <n v="655"/>
    <n v="306"/>
  </r>
  <r>
    <x v="3"/>
    <n v="2054543"/>
    <x v="11"/>
    <x v="1"/>
    <n v="84814"/>
    <n v="42407"/>
    <n v="987"/>
    <n v="551"/>
  </r>
  <r>
    <x v="3"/>
    <n v="2834831"/>
    <x v="12"/>
    <x v="0"/>
    <n v="68733"/>
    <n v="42614.46"/>
    <n v="1403"/>
    <n v="1074"/>
  </r>
  <r>
    <x v="3"/>
    <n v="1524437"/>
    <x v="11"/>
    <x v="2"/>
    <n v="49631"/>
    <n v="38712.18"/>
    <n v="591"/>
    <n v="621"/>
  </r>
  <r>
    <x v="3"/>
    <n v="1164865"/>
    <x v="13"/>
    <x v="0"/>
    <n v="41152"/>
    <n v="20576"/>
    <n v="824"/>
    <n v="361"/>
  </r>
  <r>
    <x v="3"/>
    <n v="9905461"/>
    <x v="13"/>
    <x v="0"/>
    <n v="20892"/>
    <n v="16922.52"/>
    <n v="262"/>
    <n v="262"/>
  </r>
  <r>
    <x v="3"/>
    <n v="2955104"/>
    <x v="14"/>
    <x v="1"/>
    <n v="10493"/>
    <n v="6400.73"/>
    <n v="420"/>
    <n v="404"/>
  </r>
  <r>
    <x v="3"/>
    <n v="2499739"/>
    <x v="4"/>
    <x v="1"/>
    <n v="72909"/>
    <n v="36454.5"/>
    <n v="776"/>
    <n v="365"/>
  </r>
  <r>
    <x v="4"/>
    <n v="1891779"/>
    <x v="7"/>
    <x v="0"/>
    <n v="61746"/>
    <n v="30873"/>
    <n v="1235"/>
    <n v="483"/>
  </r>
  <r>
    <x v="4"/>
    <n v="4352798"/>
    <x v="15"/>
    <x v="1"/>
    <n v="42374"/>
    <n v="21187"/>
    <n v="1116"/>
    <n v="573"/>
  </r>
  <r>
    <x v="4"/>
    <n v="5231457"/>
    <x v="12"/>
    <x v="1"/>
    <n v="28083"/>
    <n v="18815.61"/>
    <n v="433"/>
    <n v="347"/>
  </r>
  <r>
    <x v="4"/>
    <n v="7825378"/>
    <x v="1"/>
    <x v="0"/>
    <n v="49919"/>
    <n v="38437.629999999997"/>
    <n v="1086"/>
    <n v="1135"/>
  </r>
  <r>
    <x v="4"/>
    <n v="6750489"/>
    <x v="14"/>
    <x v="0"/>
    <n v="96029"/>
    <n v="86426.1"/>
    <n v="980"/>
    <n v="942"/>
  </r>
  <r>
    <x v="5"/>
    <n v="9146503"/>
    <x v="16"/>
    <x v="1"/>
    <n v="77477"/>
    <n v="38738.5"/>
    <n v="1615"/>
    <n v="760"/>
  </r>
  <r>
    <x v="5"/>
    <n v="2745927"/>
    <x v="8"/>
    <x v="0"/>
    <n v="70848"/>
    <n v="35424"/>
    <n v="1363"/>
    <n v="581"/>
  </r>
  <r>
    <x v="5"/>
    <n v="2468815"/>
    <x v="7"/>
    <x v="1"/>
    <n v="20913"/>
    <n v="14639.099999999999"/>
    <n v="411"/>
    <n v="388"/>
  </r>
  <r>
    <x v="5"/>
    <n v="1644724"/>
    <x v="8"/>
    <x v="1"/>
    <n v="87068"/>
    <n v="43534"/>
    <n v="1146"/>
    <n v="545"/>
  </r>
  <r>
    <x v="5"/>
    <n v="3945458"/>
    <x v="1"/>
    <x v="0"/>
    <n v="75193"/>
    <n v="54138.96"/>
    <n v="3418"/>
    <n v="1791"/>
  </r>
  <r>
    <x v="6"/>
    <n v="8294607"/>
    <x v="17"/>
    <x v="1"/>
    <n v="46828"/>
    <n v="34652.720000000001"/>
    <n v="756"/>
    <n v="593"/>
  </r>
  <r>
    <x v="6"/>
    <n v="4926793"/>
    <x v="4"/>
    <x v="0"/>
    <n v="95269"/>
    <n v="47634.5"/>
    <n v="2887"/>
    <n v="1059"/>
  </r>
  <r>
    <x v="6"/>
    <n v="2076527"/>
    <x v="17"/>
    <x v="0"/>
    <n v="72857"/>
    <n v="65571.3"/>
    <n v="2024"/>
    <n v="1551"/>
  </r>
  <r>
    <x v="6"/>
    <n v="3842892"/>
    <x v="1"/>
    <x v="1"/>
    <n v="49584"/>
    <n v="24792"/>
    <n v="855"/>
    <n v="496"/>
  </r>
  <r>
    <x v="6"/>
    <n v="4528783"/>
    <x v="12"/>
    <x v="1"/>
    <n v="35188"/>
    <n v="29909.8"/>
    <n v="765"/>
    <n v="952"/>
  </r>
  <r>
    <x v="6"/>
    <n v="5284006"/>
    <x v="8"/>
    <x v="0"/>
    <n v="82485"/>
    <n v="41242.5"/>
    <n v="3055"/>
    <n v="1214"/>
  </r>
  <r>
    <x v="6"/>
    <n v="9737702"/>
    <x v="4"/>
    <x v="0"/>
    <n v="40748"/>
    <n v="20374"/>
    <n v="1359"/>
    <n v="443"/>
  </r>
  <r>
    <x v="6"/>
    <n v="4176029"/>
    <x v="10"/>
    <x v="0"/>
    <n v="37088"/>
    <n v="18544"/>
    <n v="3709"/>
    <n v="1686"/>
  </r>
  <r>
    <x v="6"/>
    <n v="4221926"/>
    <x v="1"/>
    <x v="0"/>
    <n v="32442"/>
    <n v="24007.079999999998"/>
    <n v="550"/>
    <n v="422"/>
  </r>
  <r>
    <x v="7"/>
    <n v="6577765"/>
    <x v="18"/>
    <x v="0"/>
    <n v="77116"/>
    <n v="59379.32"/>
    <n v="4537"/>
    <n v="5932"/>
  </r>
  <r>
    <x v="7"/>
    <n v="4522297"/>
    <x v="18"/>
    <x v="2"/>
    <n v="55097"/>
    <n v="48485.36"/>
    <n v="1148"/>
    <n v="967"/>
  </r>
  <r>
    <x v="7"/>
    <n v="7496517"/>
    <x v="15"/>
    <x v="0"/>
    <n v="14682"/>
    <n v="7341"/>
    <n v="220"/>
    <n v="105"/>
  </r>
  <r>
    <x v="7"/>
    <n v="1434211"/>
    <x v="5"/>
    <x v="2"/>
    <n v="56716"/>
    <n v="28358"/>
    <n v="1351"/>
    <n v="489"/>
  </r>
  <r>
    <x v="7"/>
    <n v="5921423"/>
    <x v="16"/>
    <x v="0"/>
    <n v="67092"/>
    <n v="50319"/>
    <n v="685"/>
    <n v="692"/>
  </r>
  <r>
    <x v="7"/>
    <n v="2148040"/>
    <x v="2"/>
    <x v="1"/>
    <n v="96703"/>
    <n v="48351.5"/>
    <n v="1029"/>
    <n v="432"/>
  </r>
  <r>
    <x v="7"/>
    <n v="9254176"/>
    <x v="9"/>
    <x v="0"/>
    <n v="99346"/>
    <n v="49673"/>
    <n v="1308"/>
    <n v="637"/>
  </r>
  <r>
    <x v="7"/>
    <n v="9991644"/>
    <x v="5"/>
    <x v="0"/>
    <n v="80693"/>
    <n v="40346.5"/>
    <n v="3363"/>
    <n v="1302"/>
  </r>
  <r>
    <x v="7"/>
    <n v="5252535"/>
    <x v="6"/>
    <x v="2"/>
    <n v="48569"/>
    <n v="24284.5"/>
    <n v="853"/>
    <n v="442"/>
  </r>
  <r>
    <x v="8"/>
    <n v="5762558"/>
    <x v="2"/>
    <x v="2"/>
    <n v="31380"/>
    <n v="28242"/>
    <n v="2414"/>
    <n v="1744"/>
  </r>
  <r>
    <x v="8"/>
    <n v="1588788"/>
    <x v="18"/>
    <x v="1"/>
    <n v="31930"/>
    <n v="15965"/>
    <n v="1065"/>
    <n v="799"/>
  </r>
  <r>
    <x v="8"/>
    <n v="3513886"/>
    <x v="9"/>
    <x v="1"/>
    <n v="37609"/>
    <n v="27830.66"/>
    <n v="965"/>
    <n v="1297"/>
  </r>
  <r>
    <x v="8"/>
    <n v="7866436"/>
    <x v="6"/>
    <x v="2"/>
    <n v="73914"/>
    <n v="59870.340000000004"/>
    <n v="6720"/>
    <n v="24638"/>
  </r>
  <r>
    <x v="8"/>
    <n v="6817518"/>
    <x v="18"/>
    <x v="1"/>
    <n v="93944"/>
    <n v="46972"/>
    <n v="2136"/>
    <n v="1175"/>
  </r>
  <r>
    <x v="8"/>
    <n v="4471864"/>
    <x v="1"/>
    <x v="0"/>
    <n v="64612"/>
    <n v="32306"/>
    <n v="4308"/>
    <n v="979"/>
  </r>
  <r>
    <x v="8"/>
    <n v="4919131"/>
    <x v="3"/>
    <x v="2"/>
    <n v="12714"/>
    <n v="6357"/>
    <n v="232"/>
    <n v="136"/>
  </r>
  <r>
    <x v="8"/>
    <n v="5902543"/>
    <x v="4"/>
    <x v="0"/>
    <n v="56974"/>
    <n v="48997.64"/>
    <n v="1676"/>
    <n v="1628"/>
  </r>
  <r>
    <x v="8"/>
    <n v="6065623"/>
    <x v="16"/>
    <x v="1"/>
    <n v="28708"/>
    <n v="14354"/>
    <n v="1305"/>
    <n v="399"/>
  </r>
  <r>
    <x v="8"/>
    <n v="8656751"/>
    <x v="0"/>
    <x v="0"/>
    <n v="31616"/>
    <n v="15808"/>
    <n v="959"/>
    <n v="360"/>
  </r>
  <r>
    <x v="8"/>
    <n v="4639301"/>
    <x v="19"/>
    <x v="0"/>
    <n v="53685"/>
    <n v="33821.550000000003"/>
    <n v="1918"/>
    <n v="2557"/>
  </r>
  <r>
    <x v="8"/>
    <n v="6341724"/>
    <x v="8"/>
    <x v="1"/>
    <n v="23401"/>
    <n v="11700.5"/>
    <n v="571"/>
    <n v="355"/>
  </r>
  <r>
    <x v="8"/>
    <n v="2299246"/>
    <x v="14"/>
    <x v="1"/>
    <n v="98538"/>
    <n v="67991.22"/>
    <n v="1408"/>
    <n v="1264"/>
  </r>
  <r>
    <x v="9"/>
    <n v="8070596"/>
    <x v="15"/>
    <x v="2"/>
    <n v="97101"/>
    <n v="48550.5"/>
    <n v="8092"/>
    <n v="1943"/>
  </r>
  <r>
    <x v="9"/>
    <n v="6048604"/>
    <x v="11"/>
    <x v="0"/>
    <n v="56003"/>
    <n v="28001.5"/>
    <n v="1807"/>
    <n v="1334"/>
  </r>
  <r>
    <x v="9"/>
    <n v="7311693"/>
    <x v="2"/>
    <x v="0"/>
    <n v="79431"/>
    <n v="50835.840000000004"/>
    <n v="837"/>
    <n v="703"/>
  </r>
  <r>
    <x v="9"/>
    <n v="3359114"/>
    <x v="18"/>
    <x v="1"/>
    <n v="13528"/>
    <n v="6764"/>
    <n v="410"/>
    <n v="188"/>
  </r>
  <r>
    <x v="9"/>
    <n v="3230819"/>
    <x v="3"/>
    <x v="1"/>
    <n v="98991"/>
    <n v="88101.99"/>
    <n v="1941"/>
    <n v="1623"/>
  </r>
  <r>
    <x v="10"/>
    <n v="7939032"/>
    <x v="7"/>
    <x v="1"/>
    <n v="77578"/>
    <n v="56321.628000000012"/>
    <n v="784"/>
    <n v="809"/>
  </r>
  <r>
    <x v="10"/>
    <n v="1573850"/>
    <x v="5"/>
    <x v="0"/>
    <n v="76898.399999999994"/>
    <n v="42294.12"/>
    <n v="884.4"/>
    <n v="493.2"/>
  </r>
  <r>
    <x v="10"/>
    <n v="2845488"/>
    <x v="2"/>
    <x v="2"/>
    <n v="72117"/>
    <n v="39664.350000000006"/>
    <n v="1093"/>
    <n v="469"/>
  </r>
  <r>
    <x v="10"/>
    <n v="6131596"/>
    <x v="8"/>
    <x v="1"/>
    <n v="73899"/>
    <n v="59340.897000000004"/>
    <n v="1212"/>
    <n v="1192"/>
  </r>
  <r>
    <x v="10"/>
    <n v="6518090"/>
    <x v="13"/>
    <x v="2"/>
    <n v="30532.14"/>
    <n v="29555.111519999999"/>
    <n v="336.15000000000003"/>
    <n v="315.09000000000003"/>
  </r>
  <r>
    <x v="10"/>
    <n v="4686726"/>
    <x v="1"/>
    <x v="2"/>
    <n v="47628.810000000005"/>
    <n v="26195.845500000003"/>
    <n v="2977.56"/>
    <n v="2165.13"/>
  </r>
  <r>
    <x v="10"/>
    <n v="4880623"/>
    <x v="13"/>
    <x v="2"/>
    <n v="80188.38"/>
    <n v="60862.980420000007"/>
    <n v="844.83"/>
    <n v="853.74"/>
  </r>
  <r>
    <x v="10"/>
    <n v="4621820"/>
    <x v="6"/>
    <x v="1"/>
    <n v="66606.3"/>
    <n v="53484.858900000007"/>
    <n v="1092.69"/>
    <n v="854.55000000000007"/>
  </r>
  <r>
    <x v="10"/>
    <n v="9241013"/>
    <x v="11"/>
    <x v="0"/>
    <n v="49627.8"/>
    <n v="40942.935000000005"/>
    <n v="545.4"/>
    <n v="473.40000000000003"/>
  </r>
  <r>
    <x v="10"/>
    <n v="8230639"/>
    <x v="14"/>
    <x v="0"/>
    <n v="60542.1"/>
    <n v="47283.380100000002"/>
    <n v="2088"/>
    <n v="2018.7"/>
  </r>
  <r>
    <x v="10"/>
    <n v="8005321"/>
    <x v="1"/>
    <x v="0"/>
    <n v="66606.3"/>
    <n v="54217.528200000008"/>
    <n v="1092.69"/>
    <n v="854.55000000000007"/>
  </r>
  <r>
    <x v="11"/>
    <n v="9924389"/>
    <x v="14"/>
    <x v="0"/>
    <n v="69162"/>
    <n v="38039.100000000006"/>
    <n v="2767"/>
    <n v="824"/>
  </r>
  <r>
    <x v="11"/>
    <n v="9610090"/>
    <x v="1"/>
    <x v="1"/>
    <n v="24928"/>
    <n v="16452.48"/>
    <n v="2267"/>
    <n v="2078"/>
  </r>
  <r>
    <x v="11"/>
    <n v="9728373"/>
    <x v="6"/>
    <x v="2"/>
    <n v="99124"/>
    <n v="78506.207999999999"/>
    <n v="1710"/>
    <n v="1437"/>
  </r>
  <r>
    <x v="11"/>
    <n v="6772883"/>
    <x v="12"/>
    <x v="0"/>
    <n v="106008"/>
    <n v="99117.48000000001"/>
    <n v="1537.2"/>
    <n v="1359.6"/>
  </r>
  <r>
    <x v="11"/>
    <n v="6253563"/>
    <x v="18"/>
    <x v="1"/>
    <n v="65428"/>
    <n v="35985.4"/>
    <n v="1870"/>
    <n v="861"/>
  </r>
  <r>
    <x v="11"/>
    <n v="7007180"/>
    <x v="1"/>
    <x v="0"/>
    <n v="17278"/>
    <n v="12923.944000000001"/>
    <n v="540"/>
    <n v="720"/>
  </r>
  <r>
    <x v="11"/>
    <n v="7995308"/>
    <x v="15"/>
    <x v="1"/>
    <n v="19961"/>
    <n v="16467.825000000001"/>
    <n v="345"/>
    <n v="256"/>
  </r>
  <r>
    <x v="11"/>
    <n v="7938105"/>
    <x v="6"/>
    <x v="2"/>
    <n v="84447"/>
    <n v="64095.273000000001"/>
    <n v="1877"/>
    <n v="2223"/>
  </r>
  <r>
    <x v="11"/>
    <n v="7525972"/>
    <x v="11"/>
    <x v="2"/>
    <n v="82332"/>
    <n v="63395.64"/>
    <n v="2009"/>
    <n v="1497"/>
  </r>
  <r>
    <x v="12"/>
    <n v="2164842"/>
    <x v="19"/>
    <x v="2"/>
    <n v="91213"/>
    <n v="50167.15"/>
    <n v="1201"/>
    <n v="617"/>
  </r>
  <r>
    <x v="12"/>
    <n v="4179616"/>
    <x v="10"/>
    <x v="0"/>
    <n v="63873"/>
    <n v="49884.812999999995"/>
    <n v="1141"/>
    <n v="875"/>
  </r>
  <r>
    <x v="12"/>
    <n v="8352729"/>
    <x v="9"/>
    <x v="1"/>
    <n v="73699.5"/>
    <n v="70530.421500000011"/>
    <n v="899.25"/>
    <n v="819"/>
  </r>
  <r>
    <x v="12"/>
    <n v="1674914"/>
    <x v="14"/>
    <x v="2"/>
    <n v="21852"/>
    <n v="12018.6"/>
    <n v="429"/>
    <n v="249"/>
  </r>
  <r>
    <x v="12"/>
    <n v="9285676"/>
    <x v="18"/>
    <x v="1"/>
    <n v="67418"/>
    <n v="37079.9"/>
    <n v="3371"/>
    <n v="1983"/>
  </r>
  <r>
    <x v="12"/>
    <n v="2034203"/>
    <x v="9"/>
    <x v="2"/>
    <n v="26123.25"/>
    <n v="31680.000000000004"/>
    <n v="294"/>
    <n v="147"/>
  </r>
  <r>
    <x v="12"/>
    <n v="4799948"/>
    <x v="17"/>
    <x v="2"/>
    <n v="46634"/>
    <n v="34882.232000000004"/>
    <n v="486"/>
    <n v="530"/>
  </r>
  <r>
    <x v="12"/>
    <n v="6647244"/>
    <x v="8"/>
    <x v="0"/>
    <n v="42329"/>
    <n v="23280.95"/>
    <n v="605"/>
    <n v="272"/>
  </r>
  <r>
    <x v="12"/>
    <n v="4686388"/>
    <x v="11"/>
    <x v="1"/>
    <n v="65851"/>
    <n v="55051.436000000009"/>
    <n v="709"/>
    <n v="709"/>
  </r>
  <r>
    <x v="12"/>
    <n v="7813421"/>
    <x v="11"/>
    <x v="2"/>
    <n v="13893"/>
    <n v="11461.725"/>
    <n v="662"/>
    <n v="421"/>
  </r>
  <r>
    <x v="12"/>
    <n v="2389252"/>
    <x v="12"/>
    <x v="0"/>
    <n v="37575"/>
    <n v="28932.750000000004"/>
    <n v="396"/>
    <n v="330"/>
  </r>
  <r>
    <x v="12"/>
    <n v="4058218"/>
    <x v="4"/>
    <x v="2"/>
    <n v="99038"/>
    <n v="69722.752000000008"/>
    <n v="5503"/>
    <n v="6603"/>
  </r>
  <r>
    <x v="12"/>
    <n v="1565087"/>
    <x v="0"/>
    <x v="2"/>
    <n v="36697"/>
    <n v="26642.022000000001"/>
    <n v="2622"/>
    <n v="1147"/>
  </r>
  <r>
    <x v="13"/>
    <n v="6848850"/>
    <x v="15"/>
    <x v="2"/>
    <n v="51183"/>
    <n v="25591.5"/>
    <n v="1969"/>
    <n v="1506"/>
  </r>
  <r>
    <x v="13"/>
    <n v="2023456"/>
    <x v="5"/>
    <x v="0"/>
    <n v="83169"/>
    <n v="41584.5"/>
    <n v="1460"/>
    <n v="743"/>
  </r>
  <r>
    <x v="13"/>
    <n v="9423212"/>
    <x v="2"/>
    <x v="0"/>
    <n v="59442"/>
    <n v="29721"/>
    <n v="1101"/>
    <n v="572"/>
  </r>
  <r>
    <x v="13"/>
    <n v="9847760"/>
    <x v="6"/>
    <x v="2"/>
    <n v="96112"/>
    <n v="74967.360000000001"/>
    <n v="1526"/>
    <n v="1249"/>
  </r>
  <r>
    <x v="13"/>
    <n v="4862491"/>
    <x v="9"/>
    <x v="2"/>
    <n v="56588"/>
    <n v="34518.68"/>
    <n v="2461"/>
    <n v="1572"/>
  </r>
  <r>
    <x v="13"/>
    <n v="1061527"/>
    <x v="1"/>
    <x v="1"/>
    <n v="33370"/>
    <n v="30033"/>
    <n v="341"/>
    <n v="338"/>
  </r>
  <r>
    <x v="13"/>
    <n v="7824934"/>
    <x v="2"/>
    <x v="0"/>
    <n v="28607"/>
    <n v="14303.5"/>
    <n v="494"/>
    <n v="292"/>
  </r>
  <r>
    <x v="13"/>
    <n v="9914339"/>
    <x v="4"/>
    <x v="1"/>
    <n v="15962"/>
    <n v="7981"/>
    <n v="551"/>
    <n v="347"/>
  </r>
  <r>
    <x v="13"/>
    <n v="4308684"/>
    <x v="1"/>
    <x v="2"/>
    <n v="97950"/>
    <n v="70524"/>
    <n v="3265"/>
    <n v="1959"/>
  </r>
  <r>
    <x v="13"/>
    <n v="1083252"/>
    <x v="1"/>
    <x v="0"/>
    <n v="37873"/>
    <n v="18936.5"/>
    <n v="417"/>
    <n v="181"/>
  </r>
  <r>
    <x v="13"/>
    <n v="7132999"/>
    <x v="7"/>
    <x v="0"/>
    <n v="57188"/>
    <n v="28594"/>
    <n v="1144"/>
    <n v="421"/>
  </r>
  <r>
    <x v="13"/>
    <n v="4317696"/>
    <x v="2"/>
    <x v="2"/>
    <n v="60631"/>
    <n v="30315.5"/>
    <n v="809"/>
    <n v="337"/>
  </r>
  <r>
    <x v="13"/>
    <n v="1112082"/>
    <x v="6"/>
    <x v="2"/>
    <n v="44978"/>
    <n v="22489"/>
    <n v="1323"/>
    <n v="469"/>
  </r>
  <r>
    <x v="13"/>
    <n v="9810605"/>
    <x v="18"/>
    <x v="1"/>
    <n v="61935"/>
    <n v="44593.2"/>
    <n v="1016"/>
    <n v="1068"/>
  </r>
  <r>
    <x v="13"/>
    <n v="8591107"/>
    <x v="0"/>
    <x v="2"/>
    <n v="13616"/>
    <n v="6808"/>
    <n v="278"/>
    <n v="148"/>
  </r>
  <r>
    <x v="13"/>
    <n v="3373623"/>
    <x v="13"/>
    <x v="2"/>
    <n v="67183"/>
    <n v="40981.629999999997"/>
    <n v="884"/>
    <n v="947"/>
  </r>
  <r>
    <x v="14"/>
    <n v="4303108"/>
    <x v="5"/>
    <x v="0"/>
    <n v="95708"/>
    <n v="59338.96"/>
    <n v="1841"/>
    <n v="1473"/>
  </r>
  <r>
    <x v="14"/>
    <n v="9545479"/>
    <x v="12"/>
    <x v="2"/>
    <n v="25196"/>
    <n v="12598"/>
    <n v="495"/>
    <n v="225"/>
  </r>
  <r>
    <x v="14"/>
    <n v="3949968"/>
    <x v="10"/>
    <x v="1"/>
    <n v="74555"/>
    <n v="37277.5"/>
    <n v="1356"/>
    <n v="643"/>
  </r>
  <r>
    <x v="14"/>
    <n v="6861653"/>
    <x v="10"/>
    <x v="1"/>
    <n v="53340"/>
    <n v="26670"/>
    <n v="2052"/>
    <n v="702"/>
  </r>
  <r>
    <x v="14"/>
    <n v="9617531"/>
    <x v="17"/>
    <x v="2"/>
    <n v="34705"/>
    <n v="17352.5"/>
    <n v="938"/>
    <n v="496"/>
  </r>
  <r>
    <x v="14"/>
    <n v="1588201"/>
    <x v="3"/>
    <x v="0"/>
    <n v="11514"/>
    <n v="5757"/>
    <n v="606"/>
    <n v="443"/>
  </r>
  <r>
    <x v="14"/>
    <n v="9289725"/>
    <x v="4"/>
    <x v="0"/>
    <n v="33439"/>
    <n v="16719.5"/>
    <n v="984"/>
    <n v="349"/>
  </r>
  <r>
    <x v="15"/>
    <n v="6472691"/>
    <x v="8"/>
    <x v="1"/>
    <n v="86818"/>
    <n v="43409"/>
    <n v="1174"/>
    <n v="648"/>
  </r>
  <r>
    <x v="15"/>
    <n v="8943492"/>
    <x v="8"/>
    <x v="0"/>
    <n v="31431"/>
    <n v="21373.08"/>
    <n v="443"/>
    <n v="414"/>
  </r>
  <r>
    <x v="15"/>
    <n v="2299600"/>
    <x v="19"/>
    <x v="1"/>
    <n v="95218"/>
    <n v="79030.94"/>
    <n v="2976"/>
    <n v="2116"/>
  </r>
  <r>
    <x v="15"/>
    <n v="3966406"/>
    <x v="17"/>
    <x v="1"/>
    <n v="11513"/>
    <n v="5756.5"/>
    <n v="360"/>
    <n v="160"/>
  </r>
  <r>
    <x v="15"/>
    <n v="6382675"/>
    <x v="2"/>
    <x v="2"/>
    <n v="66067"/>
    <n v="33033.5"/>
    <n v="760"/>
    <n v="424"/>
  </r>
  <r>
    <x v="15"/>
    <n v="7925131"/>
    <x v="6"/>
    <x v="1"/>
    <n v="16974"/>
    <n v="11881.8"/>
    <n v="246"/>
    <n v="262"/>
  </r>
  <r>
    <x v="15"/>
    <n v="7713015"/>
    <x v="2"/>
    <x v="1"/>
    <n v="51120"/>
    <n v="25560"/>
    <n v="1162"/>
    <n v="406"/>
  </r>
  <r>
    <x v="15"/>
    <n v="2437410"/>
    <x v="18"/>
    <x v="2"/>
    <n v="49435"/>
    <n v="39548"/>
    <n v="989"/>
    <n v="868"/>
  </r>
  <r>
    <x v="15"/>
    <n v="2776355"/>
    <x v="9"/>
    <x v="2"/>
    <n v="91832"/>
    <n v="45916"/>
    <n v="1056"/>
    <n v="547"/>
  </r>
  <r>
    <x v="15"/>
    <n v="2774540"/>
    <x v="17"/>
    <x v="1"/>
    <n v="43917"/>
    <n v="26350.2"/>
    <n v="1255"/>
    <n v="915"/>
  </r>
  <r>
    <x v="15"/>
    <n v="6131576"/>
    <x v="2"/>
    <x v="1"/>
    <n v="14530"/>
    <n v="7265"/>
    <n v="255"/>
    <n v="146"/>
  </r>
  <r>
    <x v="15"/>
    <n v="4308759"/>
    <x v="6"/>
    <x v="0"/>
    <n v="74428"/>
    <n v="37214"/>
    <n v="1262"/>
    <n v="621"/>
  </r>
  <r>
    <x v="15"/>
    <n v="6312327"/>
    <x v="15"/>
    <x v="2"/>
    <n v="41121"/>
    <n v="34952.85"/>
    <n v="521"/>
    <n v="588"/>
  </r>
  <r>
    <x v="15"/>
    <n v="5553821"/>
    <x v="1"/>
    <x v="0"/>
    <n v="76500"/>
    <n v="61200"/>
    <n v="1125"/>
    <n v="1093"/>
  </r>
  <r>
    <x v="16"/>
    <n v="9047006"/>
    <x v="17"/>
    <x v="1"/>
    <n v="34763.300000000003"/>
    <n v="41359"/>
    <n v="1830.4"/>
    <n v="790.4"/>
  </r>
  <r>
    <x v="16"/>
    <n v="4131328"/>
    <x v="17"/>
    <x v="1"/>
    <n v="122508.1"/>
    <n v="88205.831999999995"/>
    <n v="2663.7000000000003"/>
    <n v="2008.5"/>
  </r>
  <r>
    <x v="16"/>
    <n v="9888103"/>
    <x v="7"/>
    <x v="2"/>
    <n v="77232"/>
    <n v="38616"/>
    <n v="1044"/>
    <n v="444"/>
  </r>
  <r>
    <x v="16"/>
    <n v="7975145"/>
    <x v="10"/>
    <x v="1"/>
    <n v="82726"/>
    <n v="71144.36"/>
    <n v="3064"/>
    <n v="2298"/>
  </r>
  <r>
    <x v="16"/>
    <n v="2436310"/>
    <x v="17"/>
    <x v="0"/>
    <n v="58247.8"/>
    <n v="48928.152000000002"/>
    <n v="711.1"/>
    <n v="787.80000000000007"/>
  </r>
  <r>
    <x v="16"/>
    <n v="1256295"/>
    <x v="7"/>
    <x v="2"/>
    <n v="24559"/>
    <n v="12279.5"/>
    <n v="439"/>
    <n v="262"/>
  </r>
  <r>
    <x v="16"/>
    <n v="6975772"/>
    <x v="18"/>
    <x v="2"/>
    <n v="13068"/>
    <n v="6534"/>
    <n v="654"/>
    <n v="164"/>
  </r>
  <r>
    <x v="16"/>
    <n v="9053120"/>
    <x v="6"/>
    <x v="1"/>
    <n v="52624"/>
    <n v="26312"/>
    <n v="1012"/>
    <n v="479"/>
  </r>
  <r>
    <x v="16"/>
    <n v="7582544"/>
    <x v="3"/>
    <x v="1"/>
    <n v="87781"/>
    <n v="43890.5"/>
    <n v="1568"/>
    <n v="896"/>
  </r>
  <r>
    <x v="16"/>
    <n v="8682843"/>
    <x v="2"/>
    <x v="2"/>
    <n v="91781"/>
    <n v="45890.5"/>
    <n v="2186"/>
    <n v="1148"/>
  </r>
  <r>
    <x v="16"/>
    <n v="5953827"/>
    <x v="11"/>
    <x v="2"/>
    <n v="36369"/>
    <n v="18184.5"/>
    <n v="492"/>
    <n v="257"/>
  </r>
  <r>
    <x v="16"/>
    <n v="5766742"/>
    <x v="8"/>
    <x v="1"/>
    <n v="64374"/>
    <n v="32187"/>
    <n v="4952"/>
    <n v="10729"/>
  </r>
  <r>
    <x v="16"/>
    <n v="2145045"/>
    <x v="17"/>
    <x v="1"/>
    <n v="125014.5"/>
    <n v="112513.05"/>
    <n v="2501.2000000000003"/>
    <n v="1953.9"/>
  </r>
  <r>
    <x v="16"/>
    <n v="4641638"/>
    <x v="6"/>
    <x v="0"/>
    <n v="61496"/>
    <n v="30748"/>
    <n v="1099"/>
    <n v="459"/>
  </r>
  <r>
    <x v="16"/>
    <n v="6569884"/>
    <x v="8"/>
    <x v="0"/>
    <n v="96602"/>
    <n v="85975.78"/>
    <n v="1151"/>
    <n v="12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6D861-71F1-4E4A-9EFC-E5B3FD9BB4B1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D23" firstHeaderRow="0" firstDataRow="1" firstDataCol="1"/>
  <pivotFields count="8">
    <pivotField axis="axisRow" showAll="0" sortType="descending">
      <items count="18">
        <item x="9"/>
        <item x="10"/>
        <item x="8"/>
        <item x="5"/>
        <item x="15"/>
        <item x="16"/>
        <item x="0"/>
        <item x="7"/>
        <item x="4"/>
        <item x="6"/>
        <item x="2"/>
        <item x="1"/>
        <item x="12"/>
        <item x="11"/>
        <item x="13"/>
        <item x="3"/>
        <item x="1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/>
    <pivotField showAll="0" sortType="descending">
      <items count="21">
        <item x="1"/>
        <item x="19"/>
        <item x="6"/>
        <item x="5"/>
        <item x="7"/>
        <item x="13"/>
        <item x="15"/>
        <item x="8"/>
        <item x="12"/>
        <item x="11"/>
        <item x="17"/>
        <item x="2"/>
        <item x="3"/>
        <item x="10"/>
        <item x="0"/>
        <item x="4"/>
        <item x="9"/>
        <item x="14"/>
        <item x="16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2"/>
        <item x="1"/>
        <item x="0"/>
        <item t="default"/>
      </items>
    </pivotField>
    <pivotField dataField="1" numFmtId="164" showAll="0"/>
    <pivotField dataField="1" numFmtId="164" showAll="0"/>
    <pivotField numFmtId="164" showAll="0"/>
    <pivotField numFmtId="164" showAll="0"/>
  </pivotFields>
  <rowFields count="1">
    <field x="0"/>
  </rowFields>
  <rowItems count="18">
    <i>
      <x v="5"/>
    </i>
    <i>
      <x v="14"/>
    </i>
    <i>
      <x v="4"/>
    </i>
    <i>
      <x v="1"/>
    </i>
    <i>
      <x v="12"/>
    </i>
    <i>
      <x v="2"/>
    </i>
    <i>
      <x v="7"/>
    </i>
    <i>
      <x v="13"/>
    </i>
    <i>
      <x v="6"/>
    </i>
    <i>
      <x v="9"/>
    </i>
    <i>
      <x v="15"/>
    </i>
    <i>
      <x/>
    </i>
    <i>
      <x v="3"/>
    </i>
    <i>
      <x v="16"/>
    </i>
    <i>
      <x v="8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Course ID" fld="1" subtotal="count" baseField="2" baseItem="0"/>
    <dataField name="Sum of Year 1 revenue" fld="4" baseField="0" baseItem="0" numFmtId="43"/>
    <dataField name="Sum of Year 2 H1 revenue" fld="5" baseField="0" baseItem="0" numFmtId="43"/>
  </dataFields>
  <formats count="1">
    <format dxfId="15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1117D-A38C-4C07-8ED3-1CA1290F0D19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S51" firstHeaderRow="1" firstDataRow="2" firstDataCol="1"/>
  <pivotFields count="8">
    <pivotField axis="axisCol" showAll="0">
      <items count="18">
        <item x="9"/>
        <item x="10"/>
        <item x="8"/>
        <item x="5"/>
        <item x="15"/>
        <item x="16"/>
        <item x="0"/>
        <item x="7"/>
        <item x="4"/>
        <item x="6"/>
        <item x="2"/>
        <item x="1"/>
        <item x="12"/>
        <item x="11"/>
        <item x="13"/>
        <item x="3"/>
        <item x="14"/>
        <item t="default"/>
      </items>
    </pivotField>
    <pivotField showAll="0"/>
    <pivotField axis="axisRow" showAll="0">
      <items count="21">
        <item x="1"/>
        <item x="19"/>
        <item x="6"/>
        <item x="5"/>
        <item x="7"/>
        <item x="13"/>
        <item x="15"/>
        <item x="8"/>
        <item x="12"/>
        <item x="11"/>
        <item x="17"/>
        <item x="2"/>
        <item x="3"/>
        <item x="10"/>
        <item x="0"/>
        <item x="4"/>
        <item x="9"/>
        <item x="14"/>
        <item x="16"/>
        <item x="18"/>
        <item t="default"/>
      </items>
    </pivotField>
    <pivotField showAll="0">
      <items count="4">
        <item x="2"/>
        <item x="1"/>
        <item x="0"/>
        <item t="default"/>
      </items>
    </pivotField>
    <pivotField numFmtId="164" showAll="0"/>
    <pivotField dataField="1" numFmtId="164" showAll="0"/>
    <pivotField numFmtId="164" showAll="0"/>
    <pivotField numFmtId="164" showAl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0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Sum of Year 2 H1 revenue" fld="5" baseField="0" baseItem="0" numFmtId="43"/>
  </dataFields>
  <formats count="1"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02ECBC6-7301-4B4C-9386-B1F45D2B34FF}" autoFormatId="16" applyNumberFormats="0" applyBorderFormats="0" applyFontFormats="0" applyPatternFormats="0" applyAlignmentFormats="0" applyWidthHeightFormats="0">
  <queryTableRefresh nextId="15" unboundColumnsRight="11">
    <queryTableFields count="14">
      <queryTableField id="1" name="Course ID" tableColumnId="1"/>
      <queryTableField id="2" name=" Lastname" tableColumnId="2"/>
      <queryTableField id="3" name=" Firstname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16A32A-BD2B-4693-8199-BDA1B8DA2B8E}" name="Product_author_data__3" displayName="Product_author_data__3" ref="A5:N160" tableType="queryTable" totalsRowShown="0" headerRowDxfId="14">
  <autoFilter ref="A5:N160" xr:uid="{A516A32A-BD2B-4693-8199-BDA1B8DA2B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1A3DD80F-C083-4808-B31A-1746638F56C3}" uniqueName="1" name="Course ID" queryTableFieldId="1"/>
    <tableColumn id="2" xr3:uid="{FE418C10-8981-455C-B653-2C9F4F01A4AF}" uniqueName="2" name=" Lastname" queryTableFieldId="2" dataDxfId="13"/>
    <tableColumn id="3" xr3:uid="{6A2A70FF-E079-4FA7-8091-DA4F0A8A25E5}" uniqueName="3" name=" Firstname" queryTableFieldId="3" dataDxfId="12"/>
    <tableColumn id="4" xr3:uid="{841DDF06-BBDB-476B-AE8D-4FA1ED08D1A7}" uniqueName="4" name="Concatenate first and last" queryTableFieldId="4" dataDxfId="11">
      <calculatedColumnFormula>CONCATENATE(C6,B6)</calculatedColumnFormula>
    </tableColumn>
    <tableColumn id="5" xr3:uid="{06247916-11DA-4707-9E31-7EB578F5D4E6}" uniqueName="5" name="Proper names" queryTableFieldId="5" dataDxfId="10">
      <calculatedColumnFormula>PROPER(D6)</calculatedColumnFormula>
    </tableColumn>
    <tableColumn id="6" xr3:uid="{73E8F74B-F5E1-49C3-8151-FDF271E30FF4}" uniqueName="6" name="Capitals" queryTableFieldId="6" dataDxfId="9">
      <calculatedColumnFormula>UPPER(E6)</calculatedColumnFormula>
    </tableColumn>
    <tableColumn id="7" xr3:uid="{EC479FD2-DE54-4E9F-9806-3288113DBB10}" uniqueName="7" name="Lower" queryTableFieldId="7" dataDxfId="8">
      <calculatedColumnFormula>LOWER(D6)</calculatedColumnFormula>
    </tableColumn>
    <tableColumn id="8" xr3:uid="{4ED445DA-BEEB-4CED-960C-361071AAE519}" uniqueName="8" name="Trimmed" queryTableFieldId="8" dataDxfId="7">
      <calculatedColumnFormula>TRIM(E6)</calculatedColumnFormula>
    </tableColumn>
    <tableColumn id="9" xr3:uid="{0FF3D723-AAEC-46B2-A361-03DB905AB96C}" uniqueName="9" name="All-in-one" queryTableFieldId="9" dataDxfId="6">
      <calculatedColumnFormula>TRIM(PROPER(CONCATENATE(C6," ",B6)))</calculatedColumnFormula>
    </tableColumn>
    <tableColumn id="10" xr3:uid="{7A5631F4-D1FD-493F-AA76-F75B7365FF5B}" uniqueName="10" name="Left" queryTableFieldId="10" dataDxfId="5"/>
    <tableColumn id="11" xr3:uid="{F604C575-DA0B-4165-B4D0-10886B777643}" uniqueName="11" name="Right" queryTableFieldId="11" dataDxfId="4"/>
    <tableColumn id="12" xr3:uid="{FE9C446E-7425-4F74-B8A7-55992CD9E303}" uniqueName="12" name="Mid" queryTableFieldId="12" dataDxfId="3"/>
    <tableColumn id="13" xr3:uid="{91197571-A6DB-46E5-89AD-C29AB14001E5}" uniqueName="13" name="Len" queryTableFieldId="13" dataDxfId="2"/>
    <tableColumn id="14" xr3:uid="{2F6E580F-5B3D-489E-BB58-DCEB8CAEED3C}" uniqueName="14" name="Search" queryTableFieldId="14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AEBE-570E-4C78-A5B7-66CCF44ED9A4}">
  <dimension ref="A1:B21"/>
  <sheetViews>
    <sheetView showGridLines="0" tabSelected="1" workbookViewId="0"/>
  </sheetViews>
  <sheetFormatPr defaultRowHeight="14.4" x14ac:dyDescent="0.3"/>
  <cols>
    <col min="1" max="1" width="11.88671875" customWidth="1"/>
    <col min="2" max="2" width="47.77734375" customWidth="1"/>
  </cols>
  <sheetData>
    <row r="1" spans="1:2" ht="15.6" x14ac:dyDescent="0.3">
      <c r="A1" s="2" t="s">
        <v>0</v>
      </c>
    </row>
    <row r="3" spans="1:2" x14ac:dyDescent="0.3">
      <c r="A3" s="1" t="s">
        <v>1</v>
      </c>
    </row>
    <row r="4" spans="1:2" ht="29.4" customHeight="1" x14ac:dyDescent="0.3">
      <c r="A4" s="1"/>
      <c r="B4" s="3" t="s">
        <v>5</v>
      </c>
    </row>
    <row r="5" spans="1:2" x14ac:dyDescent="0.3">
      <c r="A5" s="1"/>
    </row>
    <row r="6" spans="1:2" x14ac:dyDescent="0.3">
      <c r="A6" s="1"/>
    </row>
    <row r="7" spans="1:2" x14ac:dyDescent="0.3">
      <c r="A7" s="1" t="s">
        <v>2</v>
      </c>
    </row>
    <row r="8" spans="1:2" x14ac:dyDescent="0.3">
      <c r="A8" s="5" t="s">
        <v>10</v>
      </c>
      <c r="B8" t="s">
        <v>6</v>
      </c>
    </row>
    <row r="9" spans="1:2" x14ac:dyDescent="0.3">
      <c r="A9" s="6" t="s">
        <v>12</v>
      </c>
      <c r="B9" t="s">
        <v>7</v>
      </c>
    </row>
    <row r="10" spans="1:2" x14ac:dyDescent="0.3">
      <c r="A10" s="7" t="s">
        <v>13</v>
      </c>
      <c r="B10" t="s">
        <v>8</v>
      </c>
    </row>
    <row r="11" spans="1:2" x14ac:dyDescent="0.3">
      <c r="A11" s="8" t="s">
        <v>11</v>
      </c>
      <c r="B11" t="s">
        <v>9</v>
      </c>
    </row>
    <row r="12" spans="1:2" x14ac:dyDescent="0.3">
      <c r="A12" s="1"/>
    </row>
    <row r="13" spans="1:2" x14ac:dyDescent="0.3">
      <c r="A13" s="1" t="s">
        <v>3</v>
      </c>
    </row>
    <row r="14" spans="1:2" x14ac:dyDescent="0.3">
      <c r="A14" s="1"/>
      <c r="B14" t="s">
        <v>14</v>
      </c>
    </row>
    <row r="15" spans="1:2" x14ac:dyDescent="0.3">
      <c r="A15" s="1"/>
    </row>
    <row r="16" spans="1:2" x14ac:dyDescent="0.3">
      <c r="A16" s="1"/>
    </row>
    <row r="17" spans="1:2" x14ac:dyDescent="0.3">
      <c r="A17" s="1"/>
    </row>
    <row r="18" spans="1:2" x14ac:dyDescent="0.3">
      <c r="A18" s="1" t="s">
        <v>4</v>
      </c>
    </row>
    <row r="19" spans="1:2" x14ac:dyDescent="0.3">
      <c r="A19">
        <v>1</v>
      </c>
      <c r="B19" t="s">
        <v>15</v>
      </c>
    </row>
    <row r="20" spans="1:2" x14ac:dyDescent="0.3">
      <c r="A20">
        <v>2</v>
      </c>
    </row>
    <row r="21" spans="1:2" x14ac:dyDescent="0.3">
      <c r="A2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5C65D-D39C-4DD3-BB7E-06026D02398E}">
  <dimension ref="A1:K50"/>
  <sheetViews>
    <sheetView topLeftCell="A26" workbookViewId="0">
      <selection activeCell="K37" sqref="K37"/>
    </sheetView>
  </sheetViews>
  <sheetFormatPr defaultRowHeight="14.4" outlineLevelRow="1" x14ac:dyDescent="0.3"/>
  <cols>
    <col min="1" max="1" width="31.6640625" bestFit="1" customWidth="1"/>
    <col min="2" max="2" width="23" bestFit="1" customWidth="1"/>
    <col min="3" max="3" width="18.109375" bestFit="1" customWidth="1"/>
    <col min="4" max="4" width="14.44140625" bestFit="1" customWidth="1"/>
    <col min="5" max="5" width="13.88671875" bestFit="1" customWidth="1"/>
    <col min="6" max="6" width="15.77734375" bestFit="1" customWidth="1"/>
    <col min="7" max="7" width="13.77734375" customWidth="1"/>
    <col min="8" max="8" width="14.44140625" bestFit="1" customWidth="1"/>
    <col min="9" max="9" width="11.21875" bestFit="1" customWidth="1"/>
    <col min="10" max="10" width="12.88671875" bestFit="1" customWidth="1"/>
    <col min="11" max="11" width="11.21875" bestFit="1" customWidth="1"/>
  </cols>
  <sheetData>
    <row r="1" spans="1:8" ht="15.6" x14ac:dyDescent="0.3">
      <c r="A1" s="2" t="s">
        <v>17</v>
      </c>
    </row>
    <row r="3" spans="1:8" x14ac:dyDescent="0.3">
      <c r="A3" s="4" t="s">
        <v>171</v>
      </c>
    </row>
    <row r="5" spans="1:8" s="10" customFormat="1" ht="28.8" customHeight="1" x14ac:dyDescent="0.3">
      <c r="A5" s="10" t="s">
        <v>18</v>
      </c>
      <c r="B5" s="10" t="s">
        <v>172</v>
      </c>
      <c r="C5" s="10" t="s">
        <v>173</v>
      </c>
      <c r="D5" s="10" t="s">
        <v>174</v>
      </c>
      <c r="E5" s="10" t="s">
        <v>175</v>
      </c>
      <c r="F5" s="10" t="s">
        <v>176</v>
      </c>
      <c r="G5" s="10" t="s">
        <v>177</v>
      </c>
      <c r="H5" s="10" t="s">
        <v>178</v>
      </c>
    </row>
    <row r="6" spans="1:8" x14ac:dyDescent="0.3">
      <c r="A6" s="9" t="s">
        <v>38</v>
      </c>
      <c r="B6" s="17">
        <f>INDEX('Market size'!$O$6:$O$22,MATCH(Summary!A6,'Market size'!$A$6:$A$22,0))</f>
        <v>1482528.9301629218</v>
      </c>
      <c r="C6" s="33">
        <v>0.05</v>
      </c>
      <c r="D6" s="21">
        <f>B6*C6</f>
        <v>74126.446508146095</v>
      </c>
      <c r="E6" s="21">
        <f>Costs!F13</f>
        <v>12500</v>
      </c>
      <c r="F6" s="33">
        <v>0.1</v>
      </c>
      <c r="G6" s="21">
        <f>E6*(1+F6)</f>
        <v>13750.000000000002</v>
      </c>
      <c r="H6" s="21">
        <f>D6-G6</f>
        <v>60376.446508146095</v>
      </c>
    </row>
    <row r="7" spans="1:8" x14ac:dyDescent="0.3">
      <c r="A7" s="9" t="s">
        <v>40</v>
      </c>
      <c r="B7" s="17">
        <f>INDEX('Market size'!$O$6:$O$22,MATCH(Summary!A7,'Market size'!$A$6:$A$22,0))</f>
        <v>1615501.5022874286</v>
      </c>
      <c r="C7" s="33">
        <v>0.05</v>
      </c>
      <c r="D7" s="21">
        <f t="shared" ref="D7" si="0">B7*C7</f>
        <v>80775.07511437143</v>
      </c>
      <c r="E7" s="21">
        <f>Costs!D13</f>
        <v>22200</v>
      </c>
      <c r="F7" s="33">
        <v>0.1</v>
      </c>
      <c r="G7" s="21">
        <f>E7*(1+F7)</f>
        <v>24420.000000000004</v>
      </c>
      <c r="H7" s="21">
        <f>D7-G7</f>
        <v>56355.07511437143</v>
      </c>
    </row>
    <row r="8" spans="1:8" hidden="1" outlineLevel="1" x14ac:dyDescent="0.3">
      <c r="A8" s="9" t="s">
        <v>44</v>
      </c>
      <c r="B8" s="17">
        <f>INDEX('Market size'!$O$6:$O$22,MATCH(Summary!A8,'Market size'!$A$6:$A$22,0))</f>
        <v>1919584.783329685</v>
      </c>
      <c r="D8" s="21"/>
    </row>
    <row r="9" spans="1:8" hidden="1" outlineLevel="1" x14ac:dyDescent="0.3">
      <c r="A9" s="9" t="s">
        <v>41</v>
      </c>
      <c r="B9" s="17">
        <f>INDEX('Market size'!$O$6:$O$22,MATCH(Summary!A9,'Market size'!$A$6:$A$22,0))</f>
        <v>1415200.9974894801</v>
      </c>
      <c r="D9" s="21"/>
    </row>
    <row r="10" spans="1:8" hidden="1" outlineLevel="1" x14ac:dyDescent="0.3">
      <c r="A10" s="9" t="s">
        <v>43</v>
      </c>
      <c r="B10" s="17">
        <f>INDEX('Market size'!$O$6:$O$22,MATCH(Summary!A10,'Market size'!$A$6:$A$22,0))</f>
        <v>1236469.6650411712</v>
      </c>
      <c r="D10" s="21"/>
    </row>
    <row r="11" spans="1:8" hidden="1" outlineLevel="1" x14ac:dyDescent="0.3">
      <c r="A11" s="9" t="s">
        <v>36</v>
      </c>
      <c r="B11" s="17">
        <f>INDEX('Market size'!$O$6:$O$22,MATCH(Summary!A11,'Market size'!$A$6:$A$22,0))</f>
        <v>1094358.1134654945</v>
      </c>
      <c r="D11" s="21"/>
    </row>
    <row r="12" spans="1:8" hidden="1" outlineLevel="1" x14ac:dyDescent="0.3">
      <c r="A12" s="9" t="s">
        <v>35</v>
      </c>
      <c r="B12" s="17">
        <f>INDEX('Market size'!$O$6:$O$22,MATCH(Summary!A12,'Market size'!$A$6:$A$22,0))</f>
        <v>853130.7908721097</v>
      </c>
      <c r="D12" s="21"/>
    </row>
    <row r="13" spans="1:8" hidden="1" outlineLevel="1" x14ac:dyDescent="0.3">
      <c r="A13" s="9" t="s">
        <v>39</v>
      </c>
      <c r="B13" s="17">
        <f>INDEX('Market size'!$O$6:$O$22,MATCH(Summary!A13,'Market size'!$A$6:$A$22,0))</f>
        <v>1312911.636098163</v>
      </c>
      <c r="D13" s="21"/>
    </row>
    <row r="14" spans="1:8" hidden="1" outlineLevel="1" x14ac:dyDescent="0.3">
      <c r="A14" s="9" t="s">
        <v>25</v>
      </c>
      <c r="B14" s="17">
        <f>INDEX('Market size'!$O$6:$O$22,MATCH(Summary!A14,'Market size'!$A$6:$A$22,0))</f>
        <v>840308.43172911368</v>
      </c>
      <c r="D14" s="21"/>
    </row>
    <row r="15" spans="1:8" hidden="1" outlineLevel="1" x14ac:dyDescent="0.3">
      <c r="A15" s="9" t="s">
        <v>34</v>
      </c>
      <c r="B15" s="17">
        <f>INDEX('Market size'!$O$6:$O$22,MATCH(Summary!A15,'Market size'!$A$6:$A$22,0))</f>
        <v>794807.66114156879</v>
      </c>
      <c r="D15" s="21"/>
    </row>
    <row r="16" spans="1:8" hidden="1" outlineLevel="1" x14ac:dyDescent="0.3">
      <c r="A16" s="9" t="s">
        <v>31</v>
      </c>
      <c r="B16" s="17">
        <f>INDEX('Market size'!$O$6:$O$22,MATCH(Summary!A16,'Market size'!$A$6:$A$22,0))</f>
        <v>539124.04109716008</v>
      </c>
      <c r="D16" s="21"/>
    </row>
    <row r="17" spans="1:11" hidden="1" outlineLevel="1" x14ac:dyDescent="0.3">
      <c r="A17" s="9" t="s">
        <v>37</v>
      </c>
      <c r="B17" s="17">
        <f>INDEX('Market size'!$O$6:$O$22,MATCH(Summary!A17,'Market size'!$A$6:$A$22,0))</f>
        <v>572626.48686488392</v>
      </c>
      <c r="D17" s="21"/>
    </row>
    <row r="18" spans="1:11" hidden="1" outlineLevel="1" x14ac:dyDescent="0.3">
      <c r="A18" s="9" t="s">
        <v>33</v>
      </c>
      <c r="B18" s="17">
        <f>INDEX('Market size'!$O$6:$O$22,MATCH(Summary!A18,'Market size'!$A$6:$A$22,0))</f>
        <v>456877.01061500161</v>
      </c>
      <c r="D18" s="21"/>
    </row>
    <row r="19" spans="1:11" hidden="1" outlineLevel="1" x14ac:dyDescent="0.3">
      <c r="A19" s="9" t="s">
        <v>42</v>
      </c>
      <c r="B19" s="17">
        <f>INDEX('Market size'!$O$6:$O$22,MATCH(Summary!A19,'Market size'!$A$6:$A$22,0))</f>
        <v>376003.19098294876</v>
      </c>
      <c r="D19" s="21"/>
    </row>
    <row r="20" spans="1:11" hidden="1" outlineLevel="1" x14ac:dyDescent="0.3">
      <c r="A20" s="9" t="s">
        <v>32</v>
      </c>
      <c r="B20" s="17">
        <f>INDEX('Market size'!$O$6:$O$22,MATCH(Summary!A20,'Market size'!$A$6:$A$22,0))</f>
        <v>570553.64248403348</v>
      </c>
      <c r="D20" s="21"/>
    </row>
    <row r="21" spans="1:11" hidden="1" outlineLevel="1" x14ac:dyDescent="0.3">
      <c r="A21" s="9" t="s">
        <v>30</v>
      </c>
      <c r="B21" s="17">
        <f>INDEX('Market size'!$O$6:$O$22,MATCH(Summary!A21,'Market size'!$A$6:$A$22,0))</f>
        <v>392128.20565503987</v>
      </c>
      <c r="D21" s="21"/>
    </row>
    <row r="22" spans="1:11" hidden="1" outlineLevel="1" x14ac:dyDescent="0.3">
      <c r="A22" s="9" t="s">
        <v>28</v>
      </c>
      <c r="B22" s="17">
        <f>INDEX('Market size'!$O$6:$O$22,MATCH(Summary!A22,'Market size'!$A$6:$A$22,0))</f>
        <v>409529.55413939612</v>
      </c>
      <c r="D22" s="21"/>
    </row>
    <row r="23" spans="1:11" collapsed="1" x14ac:dyDescent="0.3"/>
    <row r="26" spans="1:11" x14ac:dyDescent="0.3">
      <c r="A26" s="4" t="s">
        <v>179</v>
      </c>
    </row>
    <row r="27" spans="1:11" x14ac:dyDescent="0.3">
      <c r="B27" s="4"/>
      <c r="C27" s="1" t="s">
        <v>180</v>
      </c>
    </row>
    <row r="28" spans="1:11" x14ac:dyDescent="0.3">
      <c r="B28" s="21">
        <f>H6</f>
        <v>60376.446508146095</v>
      </c>
      <c r="C28" s="44">
        <v>0.01</v>
      </c>
      <c r="D28" s="47">
        <f>C28+1%</f>
        <v>0.02</v>
      </c>
      <c r="E28" s="47">
        <f t="shared" ref="E28:I28" si="1">D28+1%</f>
        <v>0.03</v>
      </c>
      <c r="F28" s="47">
        <f t="shared" si="1"/>
        <v>0.04</v>
      </c>
      <c r="G28" s="47">
        <f t="shared" si="1"/>
        <v>0.05</v>
      </c>
      <c r="H28" s="47">
        <f t="shared" si="1"/>
        <v>6.0000000000000005E-2</v>
      </c>
      <c r="I28" s="47">
        <f t="shared" si="1"/>
        <v>7.0000000000000007E-2</v>
      </c>
      <c r="J28" s="47">
        <v>0.25</v>
      </c>
      <c r="K28" s="47"/>
    </row>
    <row r="29" spans="1:11" x14ac:dyDescent="0.3">
      <c r="A29" s="46" t="s">
        <v>176</v>
      </c>
      <c r="B29" s="44">
        <v>0.05</v>
      </c>
      <c r="C29" s="17">
        <f t="dataTable" ref="C29:J36" dt2D="1" dtr="1" r1="C6" r2="F6"/>
        <v>1700.2893016292182</v>
      </c>
      <c r="D29" s="17">
        <v>16525.578603258436</v>
      </c>
      <c r="E29" s="17">
        <v>31350.867904887651</v>
      </c>
      <c r="F29" s="17">
        <v>46176.157206516873</v>
      </c>
      <c r="G29" s="17">
        <v>61001.446508146095</v>
      </c>
      <c r="H29" s="17">
        <v>75826.735809775317</v>
      </c>
      <c r="I29" s="17">
        <v>90652.025111404539</v>
      </c>
      <c r="J29" s="17">
        <v>357507.23254073045</v>
      </c>
      <c r="K29" s="17"/>
    </row>
    <row r="30" spans="1:11" x14ac:dyDescent="0.3">
      <c r="B30" s="48">
        <f t="shared" ref="B30:B36" si="2">B29+5%</f>
        <v>0.1</v>
      </c>
      <c r="C30" s="17">
        <v>1075.2893016292164</v>
      </c>
      <c r="D30" s="17">
        <v>15900.578603258435</v>
      </c>
      <c r="E30" s="17">
        <v>30725.867904887651</v>
      </c>
      <c r="F30" s="17">
        <v>45551.157206516873</v>
      </c>
      <c r="G30" s="17">
        <v>60376.446508146095</v>
      </c>
      <c r="H30" s="17">
        <v>75201.735809775317</v>
      </c>
      <c r="I30" s="17">
        <v>90027.025111404539</v>
      </c>
      <c r="J30" s="17">
        <v>356882.23254073045</v>
      </c>
      <c r="K30" s="17"/>
    </row>
    <row r="31" spans="1:11" x14ac:dyDescent="0.3">
      <c r="B31" s="48">
        <f t="shared" si="2"/>
        <v>0.15000000000000002</v>
      </c>
      <c r="C31" s="17">
        <v>450.28930162922006</v>
      </c>
      <c r="D31" s="17">
        <v>15275.578603258438</v>
      </c>
      <c r="E31" s="17">
        <v>30100.867904887651</v>
      </c>
      <c r="F31" s="17">
        <v>44926.157206516873</v>
      </c>
      <c r="G31" s="17">
        <v>59751.446508146095</v>
      </c>
      <c r="H31" s="17">
        <v>74576.735809775317</v>
      </c>
      <c r="I31" s="17">
        <v>89402.025111404539</v>
      </c>
      <c r="J31" s="17">
        <v>356257.23254073045</v>
      </c>
      <c r="K31" s="17"/>
    </row>
    <row r="32" spans="1:11" x14ac:dyDescent="0.3">
      <c r="B32" s="48">
        <f t="shared" si="2"/>
        <v>0.2</v>
      </c>
      <c r="C32" s="17">
        <v>-174.71069837078176</v>
      </c>
      <c r="D32" s="17">
        <v>14650.578603258436</v>
      </c>
      <c r="E32" s="17">
        <v>29475.867904887651</v>
      </c>
      <c r="F32" s="17">
        <v>44301.157206516873</v>
      </c>
      <c r="G32" s="17">
        <v>59126.446508146095</v>
      </c>
      <c r="H32" s="17">
        <v>73951.735809775317</v>
      </c>
      <c r="I32" s="17">
        <v>88777.025111404539</v>
      </c>
      <c r="J32" s="17">
        <v>355632.23254073045</v>
      </c>
      <c r="K32" s="17"/>
    </row>
    <row r="33" spans="1:11" x14ac:dyDescent="0.3">
      <c r="B33" s="48">
        <f t="shared" si="2"/>
        <v>0.25</v>
      </c>
      <c r="C33" s="17">
        <v>-799.71069837078176</v>
      </c>
      <c r="D33" s="17">
        <v>14025.578603258436</v>
      </c>
      <c r="E33" s="17">
        <v>28850.867904887651</v>
      </c>
      <c r="F33" s="17">
        <v>43676.157206516873</v>
      </c>
      <c r="G33" s="17">
        <v>58501.446508146095</v>
      </c>
      <c r="H33" s="17">
        <v>73326.735809775317</v>
      </c>
      <c r="I33" s="17">
        <v>88152.025111404539</v>
      </c>
      <c r="J33" s="17">
        <v>355007.23254073045</v>
      </c>
      <c r="K33" s="17"/>
    </row>
    <row r="34" spans="1:11" x14ac:dyDescent="0.3">
      <c r="B34" s="48">
        <f t="shared" si="2"/>
        <v>0.3</v>
      </c>
      <c r="C34" s="17">
        <v>-1424.7106983707818</v>
      </c>
      <c r="D34" s="17">
        <v>13400.578603258436</v>
      </c>
      <c r="E34" s="17">
        <v>28225.867904887651</v>
      </c>
      <c r="F34" s="17">
        <v>43051.157206516873</v>
      </c>
      <c r="G34" s="17">
        <v>57876.446508146095</v>
      </c>
      <c r="H34" s="17">
        <v>72701.735809775317</v>
      </c>
      <c r="I34" s="17">
        <v>87527.025111404539</v>
      </c>
      <c r="J34" s="17">
        <v>354382.23254073045</v>
      </c>
      <c r="K34" s="17"/>
    </row>
    <row r="35" spans="1:11" x14ac:dyDescent="0.3">
      <c r="B35" s="48">
        <f t="shared" si="2"/>
        <v>0.35</v>
      </c>
      <c r="C35" s="17">
        <v>-2049.7106983707818</v>
      </c>
      <c r="D35" s="17">
        <v>12775.578603258436</v>
      </c>
      <c r="E35" s="17">
        <v>27600.867904887651</v>
      </c>
      <c r="F35" s="17">
        <v>42426.157206516873</v>
      </c>
      <c r="G35" s="17">
        <v>57251.446508146095</v>
      </c>
      <c r="H35" s="17">
        <v>72076.735809775317</v>
      </c>
      <c r="I35" s="17">
        <v>86902.025111404539</v>
      </c>
      <c r="J35" s="17">
        <v>353757.23254073045</v>
      </c>
      <c r="K35" s="17"/>
    </row>
    <row r="36" spans="1:11" x14ac:dyDescent="0.3">
      <c r="B36" s="48">
        <f t="shared" si="2"/>
        <v>0.39999999999999997</v>
      </c>
      <c r="C36" s="17">
        <v>-2674.7106983707818</v>
      </c>
      <c r="D36" s="17">
        <v>12150.578603258436</v>
      </c>
      <c r="E36" s="17">
        <v>26975.867904887651</v>
      </c>
      <c r="F36" s="17">
        <v>41801.157206516873</v>
      </c>
      <c r="G36" s="17">
        <v>56626.446508146095</v>
      </c>
      <c r="H36" s="17">
        <v>71451.735809775317</v>
      </c>
      <c r="I36" s="17">
        <v>86277.025111404539</v>
      </c>
      <c r="J36" s="17">
        <v>353132.23254073045</v>
      </c>
      <c r="K36" s="17"/>
    </row>
    <row r="37" spans="1:11" x14ac:dyDescent="0.3">
      <c r="A37" s="45"/>
    </row>
    <row r="38" spans="1:11" x14ac:dyDescent="0.3">
      <c r="A38" s="45"/>
    </row>
    <row r="40" spans="1:11" x14ac:dyDescent="0.3">
      <c r="A40" s="4" t="s">
        <v>181</v>
      </c>
    </row>
    <row r="41" spans="1:11" x14ac:dyDescent="0.3">
      <c r="B41" s="4"/>
      <c r="C41" s="1" t="s">
        <v>180</v>
      </c>
    </row>
    <row r="42" spans="1:11" x14ac:dyDescent="0.3">
      <c r="B42" s="21">
        <f>H7</f>
        <v>56355.07511437143</v>
      </c>
      <c r="C42" s="44">
        <v>0.01</v>
      </c>
      <c r="D42" s="47">
        <f>C42+1%</f>
        <v>0.02</v>
      </c>
      <c r="E42" s="47">
        <f t="shared" ref="E42:I42" si="3">D42+1%</f>
        <v>0.03</v>
      </c>
      <c r="F42" s="47">
        <f t="shared" si="3"/>
        <v>0.04</v>
      </c>
      <c r="G42" s="47">
        <f t="shared" si="3"/>
        <v>0.05</v>
      </c>
      <c r="H42" s="47">
        <f t="shared" si="3"/>
        <v>6.0000000000000005E-2</v>
      </c>
      <c r="I42" s="47">
        <f t="shared" si="3"/>
        <v>7.0000000000000007E-2</v>
      </c>
      <c r="J42" s="47">
        <v>0.25</v>
      </c>
      <c r="K42" s="47"/>
    </row>
    <row r="43" spans="1:11" x14ac:dyDescent="0.3">
      <c r="A43" s="46" t="s">
        <v>176</v>
      </c>
      <c r="B43" s="44">
        <v>0.05</v>
      </c>
      <c r="C43" s="17">
        <f t="dataTable" ref="C43:J50" dt2D="1" dtr="1" r1="C7" r2="F7"/>
        <v>-7154.9849771257141</v>
      </c>
      <c r="D43" s="17">
        <v>9000.0300457485719</v>
      </c>
      <c r="E43" s="17">
        <v>25155.045068622858</v>
      </c>
      <c r="F43" s="17">
        <v>41310.060091497144</v>
      </c>
      <c r="G43" s="17">
        <v>57465.07511437143</v>
      </c>
      <c r="H43" s="17">
        <v>73620.09013724573</v>
      </c>
      <c r="I43" s="17">
        <v>89775.105160120016</v>
      </c>
      <c r="J43" s="17">
        <v>380565.37557185715</v>
      </c>
      <c r="K43" s="17"/>
    </row>
    <row r="44" spans="1:11" x14ac:dyDescent="0.3">
      <c r="B44" s="48">
        <f t="shared" ref="B44:B50" si="4">B43+5%</f>
        <v>0.1</v>
      </c>
      <c r="C44" s="17">
        <v>-8264.9849771257177</v>
      </c>
      <c r="D44" s="17">
        <v>7890.0300457485682</v>
      </c>
      <c r="E44" s="17">
        <v>24045.045068622854</v>
      </c>
      <c r="F44" s="17">
        <v>40200.060091497144</v>
      </c>
      <c r="G44" s="17">
        <v>56355.07511437143</v>
      </c>
      <c r="H44" s="17">
        <v>72510.09013724573</v>
      </c>
      <c r="I44" s="17">
        <v>88665.105160120016</v>
      </c>
      <c r="J44" s="17">
        <v>379455.37557185715</v>
      </c>
      <c r="K44" s="17"/>
    </row>
    <row r="45" spans="1:11" x14ac:dyDescent="0.3">
      <c r="B45" s="48">
        <f t="shared" si="4"/>
        <v>0.15000000000000002</v>
      </c>
      <c r="C45" s="17">
        <v>-9374.9849771257104</v>
      </c>
      <c r="D45" s="17">
        <v>6780.0300457485755</v>
      </c>
      <c r="E45" s="17">
        <v>22935.045068622861</v>
      </c>
      <c r="F45" s="17">
        <v>39090.060091497144</v>
      </c>
      <c r="G45" s="17">
        <v>55245.07511437143</v>
      </c>
      <c r="H45" s="17">
        <v>71400.09013724573</v>
      </c>
      <c r="I45" s="17">
        <v>87555.105160120016</v>
      </c>
      <c r="J45" s="17">
        <v>378345.37557185715</v>
      </c>
      <c r="K45" s="17"/>
    </row>
    <row r="46" spans="1:11" x14ac:dyDescent="0.3">
      <c r="B46" s="48">
        <f t="shared" si="4"/>
        <v>0.2</v>
      </c>
      <c r="C46" s="17">
        <v>-10484.984977125714</v>
      </c>
      <c r="D46" s="17">
        <v>5670.0300457485719</v>
      </c>
      <c r="E46" s="17">
        <v>21825.045068622858</v>
      </c>
      <c r="F46" s="17">
        <v>37980.060091497144</v>
      </c>
      <c r="G46" s="17">
        <v>54135.07511437143</v>
      </c>
      <c r="H46" s="17">
        <v>70290.09013724573</v>
      </c>
      <c r="I46" s="17">
        <v>86445.105160120016</v>
      </c>
      <c r="J46" s="17">
        <v>377235.37557185715</v>
      </c>
      <c r="K46" s="17"/>
    </row>
    <row r="47" spans="1:11" x14ac:dyDescent="0.3">
      <c r="B47" s="48">
        <f t="shared" si="4"/>
        <v>0.25</v>
      </c>
      <c r="C47" s="17">
        <v>-11594.984977125714</v>
      </c>
      <c r="D47" s="17">
        <v>4560.0300457485719</v>
      </c>
      <c r="E47" s="17">
        <v>20715.045068622858</v>
      </c>
      <c r="F47" s="17">
        <v>36870.060091497144</v>
      </c>
      <c r="G47" s="17">
        <v>53025.07511437143</v>
      </c>
      <c r="H47" s="17">
        <v>69180.09013724573</v>
      </c>
      <c r="I47" s="17">
        <v>85335.105160120016</v>
      </c>
      <c r="J47" s="17">
        <v>376125.37557185715</v>
      </c>
      <c r="K47" s="17"/>
    </row>
    <row r="48" spans="1:11" x14ac:dyDescent="0.3">
      <c r="B48" s="48">
        <f t="shared" si="4"/>
        <v>0.3</v>
      </c>
      <c r="C48" s="17">
        <v>-12704.984977125714</v>
      </c>
      <c r="D48" s="17">
        <v>3450.0300457485719</v>
      </c>
      <c r="E48" s="17">
        <v>19605.045068622858</v>
      </c>
      <c r="F48" s="17">
        <v>35760.060091497144</v>
      </c>
      <c r="G48" s="17">
        <v>51915.07511437143</v>
      </c>
      <c r="H48" s="17">
        <v>68070.09013724573</v>
      </c>
      <c r="I48" s="17">
        <v>84225.105160120016</v>
      </c>
      <c r="J48" s="17">
        <v>375015.37557185715</v>
      </c>
      <c r="K48" s="17"/>
    </row>
    <row r="49" spans="2:11" x14ac:dyDescent="0.3">
      <c r="B49" s="48">
        <f t="shared" si="4"/>
        <v>0.35</v>
      </c>
      <c r="C49" s="17">
        <v>-13814.984977125718</v>
      </c>
      <c r="D49" s="17">
        <v>2340.0300457485682</v>
      </c>
      <c r="E49" s="17">
        <v>18495.045068622854</v>
      </c>
      <c r="F49" s="17">
        <v>34650.060091497144</v>
      </c>
      <c r="G49" s="17">
        <v>50805.07511437143</v>
      </c>
      <c r="H49" s="17">
        <v>66960.09013724573</v>
      </c>
      <c r="I49" s="17">
        <v>83115.105160120016</v>
      </c>
      <c r="J49" s="17">
        <v>373905.37557185715</v>
      </c>
      <c r="K49" s="17"/>
    </row>
    <row r="50" spans="2:11" x14ac:dyDescent="0.3">
      <c r="B50" s="48">
        <f t="shared" si="4"/>
        <v>0.39999999999999997</v>
      </c>
      <c r="C50" s="17">
        <v>-14924.98497712571</v>
      </c>
      <c r="D50" s="17">
        <v>1230.0300457485755</v>
      </c>
      <c r="E50" s="17">
        <v>17385.045068622861</v>
      </c>
      <c r="F50" s="17">
        <v>33540.060091497144</v>
      </c>
      <c r="G50" s="17">
        <v>49695.07511437143</v>
      </c>
      <c r="H50" s="17">
        <v>65850.09013724573</v>
      </c>
      <c r="I50" s="17">
        <v>82005.105160120016</v>
      </c>
      <c r="J50" s="17">
        <v>372795.37557185715</v>
      </c>
      <c r="K50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A37F-29ED-4A41-9985-67E083BB776F}">
  <dimension ref="A1:S77"/>
  <sheetViews>
    <sheetView workbookViewId="0">
      <pane xSplit="1" ySplit="5" topLeftCell="J6" activePane="bottomRight" state="frozen"/>
      <selection pane="topRight" activeCell="B1" sqref="B1"/>
      <selection pane="bottomLeft" activeCell="A6" sqref="A6"/>
      <selection pane="bottomRight" activeCell="R22" sqref="R22"/>
    </sheetView>
  </sheetViews>
  <sheetFormatPr defaultRowHeight="14.4" x14ac:dyDescent="0.3"/>
  <cols>
    <col min="1" max="1" width="23.33203125" bestFit="1" customWidth="1"/>
    <col min="2" max="2" width="15.77734375" bestFit="1" customWidth="1"/>
    <col min="3" max="3" width="20.5546875" bestFit="1" customWidth="1"/>
    <col min="4" max="4" width="23.33203125" bestFit="1" customWidth="1"/>
    <col min="5" max="5" width="22.44140625" bestFit="1" customWidth="1"/>
    <col min="6" max="6" width="14.5546875" bestFit="1" customWidth="1"/>
    <col min="7" max="8" width="17.6640625" bestFit="1" customWidth="1"/>
    <col min="9" max="9" width="11.44140625" bestFit="1" customWidth="1"/>
    <col min="10" max="10" width="12" bestFit="1" customWidth="1"/>
    <col min="11" max="13" width="11.44140625" bestFit="1" customWidth="1"/>
    <col min="14" max="14" width="13.5546875" bestFit="1" customWidth="1"/>
    <col min="15" max="15" width="12.88671875" bestFit="1" customWidth="1"/>
    <col min="16" max="16" width="12.77734375" bestFit="1" customWidth="1"/>
    <col min="17" max="17" width="11.44140625" bestFit="1" customWidth="1"/>
    <col min="18" max="18" width="11.88671875" bestFit="1" customWidth="1"/>
    <col min="19" max="19" width="13.109375" bestFit="1" customWidth="1"/>
  </cols>
  <sheetData>
    <row r="1" spans="1:15" ht="15.6" x14ac:dyDescent="0.3">
      <c r="A1" s="2" t="s">
        <v>16</v>
      </c>
      <c r="B1" t="s">
        <v>135</v>
      </c>
    </row>
    <row r="4" spans="1:15" x14ac:dyDescent="0.3">
      <c r="A4" s="4" t="s">
        <v>129</v>
      </c>
      <c r="G4" s="24" t="s">
        <v>133</v>
      </c>
      <c r="H4" s="24"/>
      <c r="I4" s="24" t="s">
        <v>134</v>
      </c>
      <c r="J4" s="24"/>
    </row>
    <row r="5" spans="1:15" ht="43.2" x14ac:dyDescent="0.3">
      <c r="A5" s="18" t="s">
        <v>103</v>
      </c>
      <c r="B5" t="s">
        <v>87</v>
      </c>
      <c r="C5" t="s">
        <v>124</v>
      </c>
      <c r="D5" t="s">
        <v>126</v>
      </c>
      <c r="E5" s="1" t="s">
        <v>127</v>
      </c>
      <c r="F5" s="1" t="s">
        <v>128</v>
      </c>
      <c r="G5" s="25">
        <v>1</v>
      </c>
      <c r="H5" s="25">
        <v>2</v>
      </c>
      <c r="I5" s="25" t="s">
        <v>132</v>
      </c>
      <c r="J5" s="25" t="s">
        <v>132</v>
      </c>
      <c r="K5" s="26" t="s">
        <v>136</v>
      </c>
      <c r="L5" s="26" t="s">
        <v>137</v>
      </c>
      <c r="M5" s="26" t="s">
        <v>156</v>
      </c>
      <c r="N5" s="26" t="s">
        <v>157</v>
      </c>
      <c r="O5" s="26" t="s">
        <v>158</v>
      </c>
    </row>
    <row r="6" spans="1:15" x14ac:dyDescent="0.3">
      <c r="A6" s="9" t="s">
        <v>44</v>
      </c>
      <c r="B6">
        <v>15</v>
      </c>
      <c r="C6" s="20">
        <v>1029145.7</v>
      </c>
      <c r="D6" s="20">
        <v>702768.174</v>
      </c>
      <c r="E6" s="21">
        <f>2*D6</f>
        <v>1405536.348</v>
      </c>
      <c r="F6" s="22">
        <f>E6/C6 -1</f>
        <v>0.36573115740560347</v>
      </c>
      <c r="G6" s="14" t="str">
        <f ca="1">INDEX($A$58:$A$77,MATCH(G$5,OFFSET($A$58:$A$77,0,MATCH($A6,$B$57:$R$57,0)),0))</f>
        <v>Jenny Furlong</v>
      </c>
      <c r="H6" s="14" t="str">
        <f ca="1">INDEX($A$58:$A$77,MATCH(H$5,OFFSET($A$58:$A$77,0,MATCH($A6,$B$57:$R$57,0)),0))</f>
        <v>Helen Bison</v>
      </c>
      <c r="I6" s="17">
        <f ca="1">INDEX($B$31:$R$50,MATCH(G6,$A$31:$A$50,0),MATCH($A6,$B$30:$R$30,0))</f>
        <v>291006.03399999999</v>
      </c>
      <c r="J6" s="17">
        <f ca="1">INDEX($B$31:$R$50,MATCH(H6,$A$31:$A$50,0),MATCH($A6,$B$30:$R$30,0))</f>
        <v>118162.78</v>
      </c>
      <c r="K6" s="21">
        <f ca="1">SUM(I6:J6)</f>
        <v>409168.81400000001</v>
      </c>
      <c r="L6" s="22">
        <f ca="1">K6/D6</f>
        <v>0.5822244505910138</v>
      </c>
      <c r="M6" s="22">
        <f>INDEX(Survey!$E$4:$E$20,MATCH('Market size'!A6,Survey!$A$4:$A$20,0))</f>
        <v>0</v>
      </c>
      <c r="N6" s="36">
        <f>F6+M6</f>
        <v>0.36573115740560347</v>
      </c>
      <c r="O6" s="21">
        <f>E6*(1+N6)</f>
        <v>1919584.783329685</v>
      </c>
    </row>
    <row r="7" spans="1:15" x14ac:dyDescent="0.3">
      <c r="A7" s="9" t="s">
        <v>41</v>
      </c>
      <c r="B7">
        <v>16</v>
      </c>
      <c r="C7" s="20">
        <v>865787</v>
      </c>
      <c r="D7" s="20">
        <v>521942.37</v>
      </c>
      <c r="E7" s="21">
        <f t="shared" ref="E7:E22" si="0">2*D7</f>
        <v>1043884.74</v>
      </c>
      <c r="F7" s="22">
        <f t="shared" ref="F7:F22" si="1">E7/C7 -1</f>
        <v>0.205706184084538</v>
      </c>
      <c r="G7" s="14" t="str">
        <f t="shared" ref="G7:H22" ca="1" si="2">INDEX($A$58:$A$77,MATCH(G$5,OFFSET($A$58:$A$77,0,MATCH($A7,$B$57:$R$57,0)),0))</f>
        <v>Ana Nacho</v>
      </c>
      <c r="H7" s="14" t="str">
        <f t="shared" ca="1" si="2"/>
        <v>Andrew Lim</v>
      </c>
      <c r="I7" s="17">
        <f t="shared" ref="I7:J22" ca="1" si="3">INDEX($B$31:$R$50,MATCH(G7,$A$31:$A$50,0),MATCH($A7,$B$30:$R$30,0))</f>
        <v>119493.5</v>
      </c>
      <c r="J7" s="17">
        <f t="shared" ca="1" si="3"/>
        <v>97456.36</v>
      </c>
      <c r="K7" s="21">
        <f t="shared" ref="K7:K22" ca="1" si="4">SUM(I7:J7)</f>
        <v>216949.86</v>
      </c>
      <c r="L7" s="22">
        <f t="shared" ref="L7:L22" ca="1" si="5">K7/D7</f>
        <v>0.41565864829099808</v>
      </c>
      <c r="M7" s="22">
        <f>INDEX(Survey!$E$4:$E$20,MATCH('Market size'!A7,Survey!$A$4:$A$20,0))</f>
        <v>0.15</v>
      </c>
      <c r="N7" s="36">
        <f t="shared" ref="N7:N22" si="6">F7+M7</f>
        <v>0.35570618408453802</v>
      </c>
      <c r="O7" s="21">
        <f t="shared" ref="O7:O22" si="7">E7*(1+N7)</f>
        <v>1415200.9974894801</v>
      </c>
    </row>
    <row r="8" spans="1:15" x14ac:dyDescent="0.3">
      <c r="A8" s="9" t="s">
        <v>43</v>
      </c>
      <c r="B8">
        <v>14</v>
      </c>
      <c r="C8" s="20">
        <v>750904</v>
      </c>
      <c r="D8" s="20">
        <v>472490.87</v>
      </c>
      <c r="E8" s="21">
        <f t="shared" si="0"/>
        <v>944981.74</v>
      </c>
      <c r="F8" s="22">
        <f t="shared" si="1"/>
        <v>0.25845879100391</v>
      </c>
      <c r="G8" s="14" t="str">
        <f t="shared" ca="1" si="2"/>
        <v>Andrew Fox</v>
      </c>
      <c r="H8" s="14" t="str">
        <f t="shared" ca="1" si="2"/>
        <v>John Silver</v>
      </c>
      <c r="I8" s="17">
        <f t="shared" ca="1" si="3"/>
        <v>79030.94</v>
      </c>
      <c r="J8" s="17">
        <f t="shared" ca="1" si="3"/>
        <v>65858.5</v>
      </c>
      <c r="K8" s="21">
        <f t="shared" ca="1" si="4"/>
        <v>144889.44</v>
      </c>
      <c r="L8" s="22">
        <f t="shared" ca="1" si="5"/>
        <v>0.30665024278670189</v>
      </c>
      <c r="M8" s="22">
        <f>INDEX(Survey!$E$4:$E$20,MATCH('Market size'!A8,Survey!$A$4:$A$20,0))</f>
        <v>0.05</v>
      </c>
      <c r="N8" s="36">
        <f t="shared" si="6"/>
        <v>0.30845879100390999</v>
      </c>
      <c r="O8" s="21">
        <f t="shared" si="7"/>
        <v>1236469.6650411712</v>
      </c>
    </row>
    <row r="9" spans="1:15" x14ac:dyDescent="0.3">
      <c r="A9" s="9" t="s">
        <v>38</v>
      </c>
      <c r="B9">
        <v>11</v>
      </c>
      <c r="C9" s="20">
        <v>702224.2300000001</v>
      </c>
      <c r="D9" s="20">
        <v>510163.63464</v>
      </c>
      <c r="E9" s="21">
        <f t="shared" si="0"/>
        <v>1020327.26928</v>
      </c>
      <c r="F9" s="22">
        <f t="shared" si="1"/>
        <v>0.45299353922891528</v>
      </c>
      <c r="G9" s="14" t="str">
        <f t="shared" ca="1" si="2"/>
        <v>Erin Monteiro</v>
      </c>
      <c r="H9" s="14" t="str">
        <f t="shared" ca="1" si="2"/>
        <v>Ana Nacho</v>
      </c>
      <c r="I9" s="17">
        <f t="shared" ca="1" si="3"/>
        <v>90418.091940000013</v>
      </c>
      <c r="J9" s="17">
        <f t="shared" ca="1" si="3"/>
        <v>80413.373700000011</v>
      </c>
      <c r="K9" s="21">
        <f t="shared" ca="1" si="4"/>
        <v>170831.46564000001</v>
      </c>
      <c r="L9" s="22">
        <f t="shared" ca="1" si="5"/>
        <v>0.33485621875135857</v>
      </c>
      <c r="M9" s="22">
        <f>INDEX(Survey!$E$4:$E$20,MATCH('Market size'!A9,Survey!$A$4:$A$20,0))</f>
        <v>0</v>
      </c>
      <c r="N9" s="36">
        <f t="shared" si="6"/>
        <v>0.45299353922891528</v>
      </c>
      <c r="O9" s="21">
        <f t="shared" si="7"/>
        <v>1482528.9301629218</v>
      </c>
    </row>
    <row r="10" spans="1:15" x14ac:dyDescent="0.3">
      <c r="A10" s="9" t="s">
        <v>40</v>
      </c>
      <c r="B10">
        <v>13</v>
      </c>
      <c r="C10" s="20">
        <v>686195.75</v>
      </c>
      <c r="D10" s="20">
        <v>501334.75150000001</v>
      </c>
      <c r="E10" s="21">
        <f t="shared" si="0"/>
        <v>1002669.503</v>
      </c>
      <c r="F10" s="22">
        <f t="shared" si="1"/>
        <v>0.46120039799138945</v>
      </c>
      <c r="G10" s="14" t="str">
        <f t="shared" ca="1" si="2"/>
        <v>Reuben Long</v>
      </c>
      <c r="H10" s="14" t="str">
        <f t="shared" ca="1" si="2"/>
        <v>Phil Kane</v>
      </c>
      <c r="I10" s="17">
        <f t="shared" ca="1" si="3"/>
        <v>102210.42150000001</v>
      </c>
      <c r="J10" s="17">
        <f t="shared" ca="1" si="3"/>
        <v>69722.752000000008</v>
      </c>
      <c r="K10" s="21">
        <f t="shared" ca="1" si="4"/>
        <v>171933.17350000003</v>
      </c>
      <c r="L10" s="22">
        <f t="shared" ca="1" si="5"/>
        <v>0.3429508387072186</v>
      </c>
      <c r="M10" s="22">
        <f>INDEX(Survey!$E$4:$E$20,MATCH('Market size'!A10,Survey!$A$4:$A$20,0))</f>
        <v>0.15</v>
      </c>
      <c r="N10" s="36">
        <f t="shared" si="6"/>
        <v>0.61120039799138948</v>
      </c>
      <c r="O10" s="21">
        <f t="shared" si="7"/>
        <v>1615501.5022874286</v>
      </c>
    </row>
    <row r="11" spans="1:15" x14ac:dyDescent="0.3">
      <c r="A11" s="9" t="s">
        <v>36</v>
      </c>
      <c r="B11">
        <v>13</v>
      </c>
      <c r="C11" s="20">
        <v>639025</v>
      </c>
      <c r="D11" s="20">
        <v>410215.91000000003</v>
      </c>
      <c r="E11" s="21">
        <f t="shared" si="0"/>
        <v>820431.82000000007</v>
      </c>
      <c r="F11" s="22">
        <f t="shared" si="1"/>
        <v>0.28388063064825331</v>
      </c>
      <c r="G11" s="14" t="str">
        <f t="shared" ca="1" si="2"/>
        <v>Shaun Yowie</v>
      </c>
      <c r="H11" s="14" t="str">
        <f t="shared" ca="1" si="2"/>
        <v>Unlimited Learning</v>
      </c>
      <c r="I11" s="17">
        <f t="shared" ca="1" si="3"/>
        <v>67991.22</v>
      </c>
      <c r="J11" s="17">
        <f t="shared" ca="1" si="3"/>
        <v>62937</v>
      </c>
      <c r="K11" s="21">
        <f t="shared" ca="1" si="4"/>
        <v>130928.22</v>
      </c>
      <c r="L11" s="22">
        <f t="shared" ca="1" si="5"/>
        <v>0.31916904441858435</v>
      </c>
      <c r="M11" s="22">
        <f>INDEX(Survey!$E$4:$E$20,MATCH('Market size'!A11,Survey!$A$4:$A$20,0))</f>
        <v>0.05</v>
      </c>
      <c r="N11" s="36">
        <f t="shared" si="6"/>
        <v>0.3338806306482533</v>
      </c>
      <c r="O11" s="21">
        <f t="shared" si="7"/>
        <v>1094358.1134654945</v>
      </c>
    </row>
    <row r="12" spans="1:15" x14ac:dyDescent="0.3">
      <c r="A12" s="9" t="s">
        <v>35</v>
      </c>
      <c r="B12">
        <v>9</v>
      </c>
      <c r="C12" s="20">
        <v>596014</v>
      </c>
      <c r="D12" s="20">
        <v>356538.18</v>
      </c>
      <c r="E12" s="21">
        <f t="shared" si="0"/>
        <v>713076.36</v>
      </c>
      <c r="F12" s="22">
        <f t="shared" si="1"/>
        <v>0.19640874207652836</v>
      </c>
      <c r="G12" s="14" t="str">
        <f t="shared" ca="1" si="2"/>
        <v>Unlimited Learning</v>
      </c>
      <c r="H12" s="14" t="str">
        <f t="shared" ca="1" si="2"/>
        <v>Angie Lee</v>
      </c>
      <c r="I12" s="17">
        <f t="shared" ca="1" si="3"/>
        <v>107864.68</v>
      </c>
      <c r="J12" s="17">
        <f t="shared" ca="1" si="3"/>
        <v>68704.5</v>
      </c>
      <c r="K12" s="21">
        <f t="shared" ca="1" si="4"/>
        <v>176569.18</v>
      </c>
      <c r="L12" s="22">
        <f t="shared" ca="1" si="5"/>
        <v>0.49523217962238997</v>
      </c>
      <c r="M12" s="22">
        <f>INDEX(Survey!$E$4:$E$20,MATCH('Market size'!A12,Survey!$A$4:$A$20,0))</f>
        <v>0</v>
      </c>
      <c r="N12" s="36">
        <f t="shared" si="6"/>
        <v>0.19640874207652836</v>
      </c>
      <c r="O12" s="21">
        <f t="shared" si="7"/>
        <v>853130.7908721097</v>
      </c>
    </row>
    <row r="13" spans="1:15" x14ac:dyDescent="0.3">
      <c r="A13" s="9" t="s">
        <v>39</v>
      </c>
      <c r="B13">
        <v>9</v>
      </c>
      <c r="C13" s="20">
        <v>568668</v>
      </c>
      <c r="D13" s="20">
        <v>424983.35000000003</v>
      </c>
      <c r="E13" s="21">
        <f t="shared" si="0"/>
        <v>849966.70000000007</v>
      </c>
      <c r="F13" s="22">
        <f t="shared" si="1"/>
        <v>0.49466243924398778</v>
      </c>
      <c r="G13" s="14" t="str">
        <f t="shared" ca="1" si="2"/>
        <v>Andrew Lim</v>
      </c>
      <c r="H13" s="14" t="str">
        <f t="shared" ca="1" si="2"/>
        <v>Jack Sparrow</v>
      </c>
      <c r="I13" s="17">
        <f t="shared" ca="1" si="3"/>
        <v>142601.481</v>
      </c>
      <c r="J13" s="17">
        <f t="shared" ca="1" si="3"/>
        <v>99117.48000000001</v>
      </c>
      <c r="K13" s="21">
        <f t="shared" ca="1" si="4"/>
        <v>241718.96100000001</v>
      </c>
      <c r="L13" s="22">
        <f t="shared" ca="1" si="5"/>
        <v>0.56877277898063539</v>
      </c>
      <c r="M13" s="22">
        <f>INDEX(Survey!$E$4:$E$20,MATCH('Market size'!A13,Survey!$A$4:$A$20,0))</f>
        <v>0.05</v>
      </c>
      <c r="N13" s="36">
        <f t="shared" si="6"/>
        <v>0.54466243924398783</v>
      </c>
      <c r="O13" s="21">
        <f t="shared" si="7"/>
        <v>1312911.636098163</v>
      </c>
    </row>
    <row r="14" spans="1:15" x14ac:dyDescent="0.3">
      <c r="A14" s="9" t="s">
        <v>25</v>
      </c>
      <c r="B14">
        <v>10</v>
      </c>
      <c r="C14" s="20">
        <v>560481</v>
      </c>
      <c r="D14" s="20">
        <v>336204.29</v>
      </c>
      <c r="E14" s="21">
        <f t="shared" si="0"/>
        <v>672408.58</v>
      </c>
      <c r="F14" s="22">
        <f t="shared" si="1"/>
        <v>0.19969915126471727</v>
      </c>
      <c r="G14" s="14" t="str">
        <f t="shared" ca="1" si="2"/>
        <v>Ana Nacho</v>
      </c>
      <c r="H14" s="14" t="str">
        <f t="shared" ca="1" si="2"/>
        <v>Michael Jones</v>
      </c>
      <c r="I14" s="17">
        <f t="shared" ca="1" si="3"/>
        <v>79259.760000000009</v>
      </c>
      <c r="J14" s="17">
        <f t="shared" ca="1" si="3"/>
        <v>56654.57</v>
      </c>
      <c r="K14" s="21">
        <f t="shared" ca="1" si="4"/>
        <v>135914.33000000002</v>
      </c>
      <c r="L14" s="22">
        <f t="shared" ca="1" si="5"/>
        <v>0.4042611413435564</v>
      </c>
      <c r="M14" s="22">
        <f>INDEX(Survey!$E$4:$E$20,MATCH('Market size'!A14,Survey!$A$4:$A$20,0))</f>
        <v>0.05</v>
      </c>
      <c r="N14" s="36">
        <f t="shared" si="6"/>
        <v>0.24969915126471726</v>
      </c>
      <c r="O14" s="21">
        <f t="shared" si="7"/>
        <v>840308.43172911368</v>
      </c>
    </row>
    <row r="15" spans="1:15" x14ac:dyDescent="0.3">
      <c r="A15" s="9" t="s">
        <v>34</v>
      </c>
      <c r="B15">
        <v>9</v>
      </c>
      <c r="C15" s="20">
        <v>492489</v>
      </c>
      <c r="D15" s="20">
        <v>306727.90000000002</v>
      </c>
      <c r="E15" s="21">
        <f t="shared" si="0"/>
        <v>613455.80000000005</v>
      </c>
      <c r="F15" s="22">
        <f t="shared" si="1"/>
        <v>0.24562335402415081</v>
      </c>
      <c r="G15" s="14" t="str">
        <f t="shared" ca="1" si="2"/>
        <v>Jenny Furlong</v>
      </c>
      <c r="H15" s="14" t="str">
        <f t="shared" ca="1" si="2"/>
        <v>Phil Kane</v>
      </c>
      <c r="I15" s="17">
        <f t="shared" ca="1" si="3"/>
        <v>100224.02</v>
      </c>
      <c r="J15" s="17">
        <f t="shared" ca="1" si="3"/>
        <v>68008.5</v>
      </c>
      <c r="K15" s="21">
        <f t="shared" ca="1" si="4"/>
        <v>168232.52000000002</v>
      </c>
      <c r="L15" s="22">
        <f t="shared" ca="1" si="5"/>
        <v>0.54847478824065243</v>
      </c>
      <c r="M15" s="22">
        <f>INDEX(Survey!$E$4:$E$20,MATCH('Market size'!A15,Survey!$A$4:$A$20,0))</f>
        <v>0.05</v>
      </c>
      <c r="N15" s="36">
        <f t="shared" si="6"/>
        <v>0.2956233540241508</v>
      </c>
      <c r="O15" s="21">
        <f t="shared" si="7"/>
        <v>794807.66114156879</v>
      </c>
    </row>
    <row r="16" spans="1:15" x14ac:dyDescent="0.3">
      <c r="A16" s="9" t="s">
        <v>31</v>
      </c>
      <c r="B16">
        <v>7</v>
      </c>
      <c r="C16" s="20">
        <v>348624</v>
      </c>
      <c r="D16" s="20">
        <v>204087.38999999998</v>
      </c>
      <c r="E16" s="21">
        <f t="shared" si="0"/>
        <v>408174.77999999997</v>
      </c>
      <c r="F16" s="22">
        <f t="shared" si="1"/>
        <v>0.17081663912983602</v>
      </c>
      <c r="G16" s="14" t="str">
        <f t="shared" ca="1" si="2"/>
        <v>James Grau</v>
      </c>
      <c r="H16" s="14" t="str">
        <f t="shared" ca="1" si="2"/>
        <v>Jack Sparrow</v>
      </c>
      <c r="I16" s="17">
        <f t="shared" ca="1" si="3"/>
        <v>81119.179999999993</v>
      </c>
      <c r="J16" s="17">
        <f t="shared" ca="1" si="3"/>
        <v>42614.46</v>
      </c>
      <c r="K16" s="21">
        <f t="shared" ca="1" si="4"/>
        <v>123733.63999999998</v>
      </c>
      <c r="L16" s="22">
        <f t="shared" ca="1" si="5"/>
        <v>0.60627773229889403</v>
      </c>
      <c r="M16" s="22">
        <f>INDEX(Survey!$E$4:$E$20,MATCH('Market size'!A16,Survey!$A$4:$A$20,0))</f>
        <v>0.15</v>
      </c>
      <c r="N16" s="36">
        <f t="shared" si="6"/>
        <v>0.32081663912983605</v>
      </c>
      <c r="O16" s="21">
        <f t="shared" si="7"/>
        <v>539124.04109716008</v>
      </c>
    </row>
    <row r="17" spans="1:19" x14ac:dyDescent="0.3">
      <c r="A17" s="9" t="s">
        <v>37</v>
      </c>
      <c r="B17">
        <v>5</v>
      </c>
      <c r="C17" s="20">
        <v>345054</v>
      </c>
      <c r="D17" s="20">
        <v>222253.83000000002</v>
      </c>
      <c r="E17" s="21">
        <f t="shared" si="0"/>
        <v>444507.66000000003</v>
      </c>
      <c r="F17" s="22">
        <f t="shared" si="1"/>
        <v>0.28822636456902417</v>
      </c>
      <c r="G17" s="14" t="str">
        <f t="shared" ca="1" si="2"/>
        <v>Liz Soomin</v>
      </c>
      <c r="H17" s="14" t="str">
        <f t="shared" ca="1" si="2"/>
        <v>John Silver</v>
      </c>
      <c r="I17" s="17">
        <f t="shared" ca="1" si="3"/>
        <v>88101.99</v>
      </c>
      <c r="J17" s="17">
        <f t="shared" ca="1" si="3"/>
        <v>50835.840000000004</v>
      </c>
      <c r="K17" s="21">
        <f t="shared" ca="1" si="4"/>
        <v>138937.83000000002</v>
      </c>
      <c r="L17" s="22">
        <f t="shared" ca="1" si="5"/>
        <v>0.62513131944677847</v>
      </c>
      <c r="M17" s="22">
        <f>INDEX(Survey!$E$4:$E$20,MATCH('Market size'!A17,Survey!$A$4:$A$20,0))</f>
        <v>0</v>
      </c>
      <c r="N17" s="36">
        <f t="shared" si="6"/>
        <v>0.28822636456902417</v>
      </c>
      <c r="O17" s="21">
        <f t="shared" si="7"/>
        <v>572626.48686488392</v>
      </c>
    </row>
    <row r="18" spans="1:19" x14ac:dyDescent="0.3">
      <c r="A18" s="9" t="s">
        <v>33</v>
      </c>
      <c r="B18">
        <v>5</v>
      </c>
      <c r="C18" s="20">
        <v>331499</v>
      </c>
      <c r="D18" s="20">
        <v>186474.56</v>
      </c>
      <c r="E18" s="21">
        <f t="shared" si="0"/>
        <v>372949.12</v>
      </c>
      <c r="F18" s="22">
        <f t="shared" si="1"/>
        <v>0.12503844657148289</v>
      </c>
      <c r="G18" s="14" t="str">
        <f t="shared" ca="1" si="2"/>
        <v>Helen Bison</v>
      </c>
      <c r="H18" s="14" t="str">
        <f t="shared" ca="1" si="2"/>
        <v>Ana Nacho</v>
      </c>
      <c r="I18" s="17">
        <f t="shared" ca="1" si="3"/>
        <v>78958</v>
      </c>
      <c r="J18" s="17">
        <f t="shared" ca="1" si="3"/>
        <v>54138.96</v>
      </c>
      <c r="K18" s="21">
        <f t="shared" ca="1" si="4"/>
        <v>133096.95999999999</v>
      </c>
      <c r="L18" s="22">
        <f t="shared" ca="1" si="5"/>
        <v>0.7137539833851867</v>
      </c>
      <c r="M18" s="22">
        <f>INDEX(Survey!$E$4:$E$20,MATCH('Market size'!A18,Survey!$A$4:$A$20,0))</f>
        <v>0.1</v>
      </c>
      <c r="N18" s="36">
        <f t="shared" si="6"/>
        <v>0.22503844657148289</v>
      </c>
      <c r="O18" s="21">
        <f t="shared" si="7"/>
        <v>456877.01061500161</v>
      </c>
    </row>
    <row r="19" spans="1:19" x14ac:dyDescent="0.3">
      <c r="A19" s="9" t="s">
        <v>42</v>
      </c>
      <c r="B19">
        <v>7</v>
      </c>
      <c r="C19" s="20">
        <v>328457</v>
      </c>
      <c r="D19" s="20">
        <v>175713.46</v>
      </c>
      <c r="E19" s="21">
        <f t="shared" si="0"/>
        <v>351426.92</v>
      </c>
      <c r="F19" s="22">
        <f t="shared" si="1"/>
        <v>6.9932807034101874E-2</v>
      </c>
      <c r="G19" s="14" t="str">
        <f t="shared" ca="1" si="2"/>
        <v>Melissa Straw</v>
      </c>
      <c r="H19" s="14" t="str">
        <f t="shared" ca="1" si="2"/>
        <v>Angie Lee</v>
      </c>
      <c r="I19" s="17">
        <f t="shared" ca="1" si="3"/>
        <v>63947.5</v>
      </c>
      <c r="J19" s="17">
        <f t="shared" ca="1" si="3"/>
        <v>59338.96</v>
      </c>
      <c r="K19" s="21">
        <f t="shared" ca="1" si="4"/>
        <v>123286.45999999999</v>
      </c>
      <c r="L19" s="22">
        <f t="shared" ca="1" si="5"/>
        <v>0.70163355726988696</v>
      </c>
      <c r="M19" s="22">
        <f>INDEX(Survey!$E$4:$E$20,MATCH('Market size'!A19,Survey!$A$4:$A$20,0))</f>
        <v>0</v>
      </c>
      <c r="N19" s="36">
        <f t="shared" si="6"/>
        <v>6.9932807034101874E-2</v>
      </c>
      <c r="O19" s="21">
        <f t="shared" si="7"/>
        <v>376003.19098294876</v>
      </c>
    </row>
    <row r="20" spans="1:19" x14ac:dyDescent="0.3">
      <c r="A20" s="9" t="s">
        <v>32</v>
      </c>
      <c r="B20">
        <v>5</v>
      </c>
      <c r="C20" s="20">
        <v>278151</v>
      </c>
      <c r="D20" s="20">
        <v>195739.34</v>
      </c>
      <c r="E20" s="21">
        <f t="shared" si="0"/>
        <v>391478.68</v>
      </c>
      <c r="F20" s="22">
        <f t="shared" si="1"/>
        <v>0.40743222206643148</v>
      </c>
      <c r="G20" s="14" t="str">
        <f t="shared" ca="1" si="2"/>
        <v>Shaun Yowie</v>
      </c>
      <c r="H20" s="14" t="str">
        <f t="shared" ca="1" si="2"/>
        <v>Ana Nacho</v>
      </c>
      <c r="I20" s="17">
        <f t="shared" ca="1" si="3"/>
        <v>86426.1</v>
      </c>
      <c r="J20" s="17">
        <f t="shared" ca="1" si="3"/>
        <v>38437.629999999997</v>
      </c>
      <c r="K20" s="21">
        <f t="shared" ca="1" si="4"/>
        <v>124863.73000000001</v>
      </c>
      <c r="L20" s="22">
        <f t="shared" ca="1" si="5"/>
        <v>0.63790819975177204</v>
      </c>
      <c r="M20" s="22">
        <f>INDEX(Survey!$E$4:$E$20,MATCH('Market size'!A20,Survey!$A$4:$A$20,0))</f>
        <v>0.05</v>
      </c>
      <c r="N20" s="36">
        <f t="shared" si="6"/>
        <v>0.45743222206643147</v>
      </c>
      <c r="O20" s="21">
        <f t="shared" si="7"/>
        <v>570553.64248403348</v>
      </c>
    </row>
    <row r="21" spans="1:19" x14ac:dyDescent="0.3">
      <c r="A21" s="9" t="s">
        <v>30</v>
      </c>
      <c r="B21">
        <v>3</v>
      </c>
      <c r="C21" s="20">
        <v>201003</v>
      </c>
      <c r="D21" s="20">
        <v>135438.39999999999</v>
      </c>
      <c r="E21" s="21">
        <f t="shared" si="0"/>
        <v>270876.79999999999</v>
      </c>
      <c r="F21" s="22">
        <f t="shared" si="1"/>
        <v>0.34762565732849748</v>
      </c>
      <c r="G21" s="14" t="str">
        <f t="shared" ca="1" si="2"/>
        <v>Liz Soomin</v>
      </c>
      <c r="H21" s="14" t="str">
        <f t="shared" ca="1" si="2"/>
        <v>Melissa Straw</v>
      </c>
      <c r="I21" s="17">
        <f t="shared" ca="1" si="3"/>
        <v>79919.299999999988</v>
      </c>
      <c r="J21" s="17">
        <f t="shared" ca="1" si="3"/>
        <v>55519.1</v>
      </c>
      <c r="K21" s="21">
        <f t="shared" ca="1" si="4"/>
        <v>135438.39999999999</v>
      </c>
      <c r="L21" s="22">
        <f t="shared" ca="1" si="5"/>
        <v>1</v>
      </c>
      <c r="M21" s="22">
        <f>INDEX(Survey!$E$4:$E$20,MATCH('Market size'!A21,Survey!$A$4:$A$20,0))</f>
        <v>0.1</v>
      </c>
      <c r="N21" s="36">
        <f t="shared" si="6"/>
        <v>0.44762565732849746</v>
      </c>
      <c r="O21" s="21">
        <f t="shared" si="7"/>
        <v>392128.20565503987</v>
      </c>
    </row>
    <row r="22" spans="1:19" x14ac:dyDescent="0.3">
      <c r="A22" s="9" t="s">
        <v>28</v>
      </c>
      <c r="B22">
        <v>4</v>
      </c>
      <c r="C22" s="20">
        <v>165227</v>
      </c>
      <c r="D22" s="20">
        <v>124014.3</v>
      </c>
      <c r="E22" s="21">
        <f t="shared" si="0"/>
        <v>248028.6</v>
      </c>
      <c r="F22" s="22">
        <f t="shared" si="1"/>
        <v>0.50113843379108736</v>
      </c>
      <c r="G22" s="14" t="str">
        <f t="shared" ca="1" si="2"/>
        <v>Phil Kane</v>
      </c>
      <c r="H22" s="14" t="str">
        <f t="shared" ca="1" si="2"/>
        <v>Helen Bison</v>
      </c>
      <c r="I22" s="17">
        <f t="shared" ca="1" si="3"/>
        <v>82452.55</v>
      </c>
      <c r="J22" s="17">
        <f t="shared" ca="1" si="3"/>
        <v>18092.25</v>
      </c>
      <c r="K22" s="21">
        <f t="shared" ca="1" si="4"/>
        <v>100544.8</v>
      </c>
      <c r="L22" s="22">
        <f t="shared" ca="1" si="5"/>
        <v>0.8107516633162466</v>
      </c>
      <c r="M22" s="22">
        <f>INDEX(Survey!$E$4:$E$20,MATCH('Market size'!A22,Survey!$A$4:$A$20,0))</f>
        <v>0.15</v>
      </c>
      <c r="N22" s="36">
        <f t="shared" si="6"/>
        <v>0.65113843379108738</v>
      </c>
      <c r="O22" s="21">
        <f t="shared" si="7"/>
        <v>409529.55413939612</v>
      </c>
    </row>
    <row r="23" spans="1:19" x14ac:dyDescent="0.3">
      <c r="A23" s="9" t="s">
        <v>123</v>
      </c>
      <c r="B23">
        <v>155</v>
      </c>
      <c r="C23" s="20">
        <v>8888948.6799999997</v>
      </c>
      <c r="D23" s="20">
        <v>5787090.7101399992</v>
      </c>
      <c r="E23" s="21"/>
      <c r="F23" s="22"/>
      <c r="G23" s="14"/>
      <c r="H23" s="14"/>
      <c r="I23" s="17"/>
      <c r="J23" s="17"/>
      <c r="K23" s="21"/>
      <c r="L23" s="22"/>
      <c r="M23" s="27"/>
      <c r="N23" s="35"/>
      <c r="O23" s="20"/>
    </row>
    <row r="28" spans="1:19" x14ac:dyDescent="0.3">
      <c r="A28" s="4" t="s">
        <v>130</v>
      </c>
    </row>
    <row r="29" spans="1:19" x14ac:dyDescent="0.3">
      <c r="A29" s="18" t="s">
        <v>126</v>
      </c>
      <c r="B29" s="18" t="s">
        <v>125</v>
      </c>
    </row>
    <row r="30" spans="1:19" x14ac:dyDescent="0.3">
      <c r="A30" s="18" t="s">
        <v>103</v>
      </c>
      <c r="B30" t="s">
        <v>37</v>
      </c>
      <c r="C30" t="s">
        <v>38</v>
      </c>
      <c r="D30" t="s">
        <v>36</v>
      </c>
      <c r="E30" t="s">
        <v>33</v>
      </c>
      <c r="F30" t="s">
        <v>43</v>
      </c>
      <c r="G30" t="s">
        <v>44</v>
      </c>
      <c r="H30" t="s">
        <v>25</v>
      </c>
      <c r="I30" t="s">
        <v>35</v>
      </c>
      <c r="J30" t="s">
        <v>32</v>
      </c>
      <c r="K30" t="s">
        <v>34</v>
      </c>
      <c r="L30" t="s">
        <v>30</v>
      </c>
      <c r="M30" t="s">
        <v>28</v>
      </c>
      <c r="N30" t="s">
        <v>40</v>
      </c>
      <c r="O30" t="s">
        <v>39</v>
      </c>
      <c r="P30" t="s">
        <v>41</v>
      </c>
      <c r="Q30" t="s">
        <v>31</v>
      </c>
      <c r="R30" t="s">
        <v>42</v>
      </c>
      <c r="S30" t="s">
        <v>123</v>
      </c>
    </row>
    <row r="31" spans="1:19" x14ac:dyDescent="0.3">
      <c r="A31" s="9" t="s">
        <v>104</v>
      </c>
      <c r="B31" s="20"/>
      <c r="C31" s="20">
        <v>80413.373700000011</v>
      </c>
      <c r="D31" s="20">
        <v>32306</v>
      </c>
      <c r="E31" s="20">
        <v>54138.96</v>
      </c>
      <c r="F31" s="20">
        <v>61200</v>
      </c>
      <c r="G31" s="20"/>
      <c r="H31" s="20">
        <v>79259.760000000009</v>
      </c>
      <c r="I31" s="20"/>
      <c r="J31" s="20">
        <v>38437.629999999997</v>
      </c>
      <c r="K31" s="20">
        <v>48799.08</v>
      </c>
      <c r="L31" s="20"/>
      <c r="M31" s="20"/>
      <c r="N31" s="20"/>
      <c r="O31" s="20">
        <v>29376.423999999999</v>
      </c>
      <c r="P31" s="20">
        <v>119493.5</v>
      </c>
      <c r="Q31" s="20"/>
      <c r="R31" s="20"/>
      <c r="S31" s="20">
        <v>543424.72770000005</v>
      </c>
    </row>
    <row r="32" spans="1:19" x14ac:dyDescent="0.3">
      <c r="A32" s="9" t="s">
        <v>105</v>
      </c>
      <c r="B32" s="20"/>
      <c r="C32" s="20"/>
      <c r="D32" s="20">
        <v>33821.550000000003</v>
      </c>
      <c r="E32" s="20"/>
      <c r="F32" s="20">
        <v>79030.94</v>
      </c>
      <c r="G32" s="20"/>
      <c r="H32" s="20"/>
      <c r="I32" s="20"/>
      <c r="J32" s="20"/>
      <c r="K32" s="20"/>
      <c r="L32" s="20"/>
      <c r="M32" s="20"/>
      <c r="N32" s="20">
        <v>50167.15</v>
      </c>
      <c r="O32" s="20"/>
      <c r="P32" s="20"/>
      <c r="Q32" s="20"/>
      <c r="R32" s="20"/>
      <c r="S32" s="20">
        <v>163019.64000000001</v>
      </c>
    </row>
    <row r="33" spans="1:19" x14ac:dyDescent="0.3">
      <c r="A33" s="9" t="s">
        <v>106</v>
      </c>
      <c r="B33" s="20"/>
      <c r="C33" s="20">
        <v>53484.858900000007</v>
      </c>
      <c r="D33" s="20">
        <v>59870.340000000004</v>
      </c>
      <c r="E33" s="20"/>
      <c r="F33" s="20">
        <v>49095.8</v>
      </c>
      <c r="G33" s="20">
        <v>57060</v>
      </c>
      <c r="H33" s="20">
        <v>18318.960000000003</v>
      </c>
      <c r="I33" s="20">
        <v>24284.5</v>
      </c>
      <c r="J33" s="20"/>
      <c r="K33" s="20"/>
      <c r="L33" s="20"/>
      <c r="M33" s="20"/>
      <c r="N33" s="20"/>
      <c r="O33" s="20">
        <v>142601.481</v>
      </c>
      <c r="P33" s="20">
        <v>97456.36</v>
      </c>
      <c r="Q33" s="20"/>
      <c r="R33" s="20"/>
      <c r="S33" s="20">
        <v>502172.29989999998</v>
      </c>
    </row>
    <row r="34" spans="1:19" x14ac:dyDescent="0.3">
      <c r="A34" s="9" t="s">
        <v>107</v>
      </c>
      <c r="B34" s="20"/>
      <c r="C34" s="20">
        <v>42294.12</v>
      </c>
      <c r="D34" s="20"/>
      <c r="E34" s="20"/>
      <c r="F34" s="20"/>
      <c r="G34" s="20"/>
      <c r="H34" s="20">
        <v>44743</v>
      </c>
      <c r="I34" s="20">
        <v>68704.5</v>
      </c>
      <c r="J34" s="20"/>
      <c r="K34" s="20"/>
      <c r="L34" s="20"/>
      <c r="M34" s="20"/>
      <c r="N34" s="20"/>
      <c r="O34" s="20"/>
      <c r="P34" s="20">
        <v>41584.5</v>
      </c>
      <c r="Q34" s="20"/>
      <c r="R34" s="20">
        <v>59338.96</v>
      </c>
      <c r="S34" s="20">
        <v>256665.08</v>
      </c>
    </row>
    <row r="35" spans="1:19" x14ac:dyDescent="0.3">
      <c r="A35" s="9" t="s">
        <v>108</v>
      </c>
      <c r="B35" s="20"/>
      <c r="C35" s="20">
        <v>56321.628000000012</v>
      </c>
      <c r="D35" s="20"/>
      <c r="E35" s="20">
        <v>14639.099999999999</v>
      </c>
      <c r="F35" s="20"/>
      <c r="G35" s="20">
        <v>50895.5</v>
      </c>
      <c r="H35" s="20">
        <v>32224.230000000003</v>
      </c>
      <c r="I35" s="20"/>
      <c r="J35" s="20">
        <v>30873</v>
      </c>
      <c r="K35" s="20"/>
      <c r="L35" s="20"/>
      <c r="M35" s="20"/>
      <c r="N35" s="20"/>
      <c r="O35" s="20"/>
      <c r="P35" s="20">
        <v>28594</v>
      </c>
      <c r="Q35" s="20"/>
      <c r="R35" s="20"/>
      <c r="S35" s="20">
        <v>213547.45800000001</v>
      </c>
    </row>
    <row r="36" spans="1:19" x14ac:dyDescent="0.3">
      <c r="A36" s="9" t="s">
        <v>109</v>
      </c>
      <c r="B36" s="20"/>
      <c r="C36" s="20">
        <v>90418.091940000013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>
        <v>40981.629999999997</v>
      </c>
      <c r="Q36" s="20">
        <v>37498.520000000004</v>
      </c>
      <c r="R36" s="20"/>
      <c r="S36" s="20">
        <v>168898.24194000004</v>
      </c>
    </row>
    <row r="37" spans="1:19" x14ac:dyDescent="0.3">
      <c r="A37" s="9" t="s">
        <v>110</v>
      </c>
      <c r="B37" s="20">
        <v>48550.5</v>
      </c>
      <c r="C37" s="20"/>
      <c r="D37" s="20"/>
      <c r="E37" s="20"/>
      <c r="F37" s="20">
        <v>34952.85</v>
      </c>
      <c r="G37" s="20"/>
      <c r="H37" s="20"/>
      <c r="I37" s="20">
        <v>7341</v>
      </c>
      <c r="J37" s="20">
        <v>21187</v>
      </c>
      <c r="K37" s="20"/>
      <c r="L37" s="20"/>
      <c r="M37" s="20"/>
      <c r="N37" s="20"/>
      <c r="O37" s="20">
        <v>16467.825000000001</v>
      </c>
      <c r="P37" s="20">
        <v>25591.5</v>
      </c>
      <c r="Q37" s="20"/>
      <c r="R37" s="20"/>
      <c r="S37" s="20">
        <v>154090.67499999999</v>
      </c>
    </row>
    <row r="38" spans="1:19" x14ac:dyDescent="0.3">
      <c r="A38" s="9" t="s">
        <v>111</v>
      </c>
      <c r="B38" s="20"/>
      <c r="C38" s="20">
        <v>59340.897000000004</v>
      </c>
      <c r="D38" s="20">
        <v>11700.5</v>
      </c>
      <c r="E38" s="20">
        <v>78958</v>
      </c>
      <c r="F38" s="20">
        <v>64782.080000000002</v>
      </c>
      <c r="G38" s="20">
        <v>118162.78</v>
      </c>
      <c r="H38" s="20"/>
      <c r="I38" s="20"/>
      <c r="J38" s="20"/>
      <c r="K38" s="20">
        <v>41242.5</v>
      </c>
      <c r="L38" s="20"/>
      <c r="M38" s="20">
        <v>18092.25</v>
      </c>
      <c r="N38" s="20">
        <v>23280.95</v>
      </c>
      <c r="O38" s="20"/>
      <c r="P38" s="20"/>
      <c r="Q38" s="20"/>
      <c r="R38" s="20"/>
      <c r="S38" s="20">
        <v>415559.95699999999</v>
      </c>
    </row>
    <row r="39" spans="1:19" x14ac:dyDescent="0.3">
      <c r="A39" s="9" t="s">
        <v>112</v>
      </c>
      <c r="B39" s="20"/>
      <c r="C39" s="20"/>
      <c r="D39" s="20"/>
      <c r="E39" s="20"/>
      <c r="F39" s="20"/>
      <c r="G39" s="20"/>
      <c r="H39" s="20"/>
      <c r="I39" s="20"/>
      <c r="J39" s="20">
        <v>18815.61</v>
      </c>
      <c r="K39" s="20">
        <v>29909.8</v>
      </c>
      <c r="L39" s="20"/>
      <c r="M39" s="20"/>
      <c r="N39" s="20">
        <v>28932.750000000004</v>
      </c>
      <c r="O39" s="20">
        <v>99117.48000000001</v>
      </c>
      <c r="P39" s="20"/>
      <c r="Q39" s="20">
        <v>42614.46</v>
      </c>
      <c r="R39" s="20">
        <v>12598</v>
      </c>
      <c r="S39" s="20">
        <v>231988.1</v>
      </c>
    </row>
    <row r="40" spans="1:19" x14ac:dyDescent="0.3">
      <c r="A40" s="9" t="s">
        <v>113</v>
      </c>
      <c r="B40" s="20">
        <v>28001.5</v>
      </c>
      <c r="C40" s="20">
        <v>40942.935000000005</v>
      </c>
      <c r="D40" s="20"/>
      <c r="E40" s="20"/>
      <c r="F40" s="20"/>
      <c r="G40" s="20">
        <v>18184.5</v>
      </c>
      <c r="H40" s="20"/>
      <c r="I40" s="20"/>
      <c r="J40" s="20"/>
      <c r="K40" s="20"/>
      <c r="L40" s="20"/>
      <c r="M40" s="20"/>
      <c r="N40" s="20">
        <v>66513.161000000007</v>
      </c>
      <c r="O40" s="20">
        <v>63395.64</v>
      </c>
      <c r="P40" s="20"/>
      <c r="Q40" s="20">
        <v>81119.179999999993</v>
      </c>
      <c r="R40" s="20"/>
      <c r="S40" s="20">
        <v>298156.91600000003</v>
      </c>
    </row>
    <row r="41" spans="1:19" x14ac:dyDescent="0.3">
      <c r="A41" s="9" t="s">
        <v>114</v>
      </c>
      <c r="B41" s="20"/>
      <c r="C41" s="20"/>
      <c r="D41" s="20"/>
      <c r="E41" s="20"/>
      <c r="F41" s="20">
        <v>32106.7</v>
      </c>
      <c r="G41" s="20">
        <v>291006.03399999999</v>
      </c>
      <c r="H41" s="20"/>
      <c r="I41" s="20"/>
      <c r="J41" s="20"/>
      <c r="K41" s="20">
        <v>100224.02</v>
      </c>
      <c r="L41" s="20"/>
      <c r="M41" s="20"/>
      <c r="N41" s="20">
        <v>34882.232000000004</v>
      </c>
      <c r="O41" s="20"/>
      <c r="P41" s="20"/>
      <c r="Q41" s="20"/>
      <c r="R41" s="20">
        <v>17352.5</v>
      </c>
      <c r="S41" s="20">
        <v>475571.48600000003</v>
      </c>
    </row>
    <row r="42" spans="1:19" x14ac:dyDescent="0.3">
      <c r="A42" s="9" t="s">
        <v>115</v>
      </c>
      <c r="B42" s="20">
        <v>50835.840000000004</v>
      </c>
      <c r="C42" s="20">
        <v>39664.350000000006</v>
      </c>
      <c r="D42" s="20">
        <v>28242</v>
      </c>
      <c r="E42" s="20"/>
      <c r="F42" s="20">
        <v>65858.5</v>
      </c>
      <c r="G42" s="20">
        <v>45890.5</v>
      </c>
      <c r="H42" s="20">
        <v>53879.5</v>
      </c>
      <c r="I42" s="20">
        <v>48351.5</v>
      </c>
      <c r="J42" s="20"/>
      <c r="K42" s="20"/>
      <c r="L42" s="20"/>
      <c r="M42" s="20"/>
      <c r="N42" s="20"/>
      <c r="O42" s="20"/>
      <c r="P42" s="20">
        <v>74340</v>
      </c>
      <c r="Q42" s="20"/>
      <c r="R42" s="20"/>
      <c r="S42" s="20">
        <v>407062.19</v>
      </c>
    </row>
    <row r="43" spans="1:19" x14ac:dyDescent="0.3">
      <c r="A43" s="9" t="s">
        <v>116</v>
      </c>
      <c r="B43" s="20">
        <v>88101.99</v>
      </c>
      <c r="C43" s="20"/>
      <c r="D43" s="20">
        <v>6357</v>
      </c>
      <c r="E43" s="20"/>
      <c r="F43" s="20"/>
      <c r="G43" s="20">
        <v>43890.5</v>
      </c>
      <c r="H43" s="20">
        <v>23129.5</v>
      </c>
      <c r="I43" s="20"/>
      <c r="J43" s="20"/>
      <c r="K43" s="20"/>
      <c r="L43" s="20">
        <v>79919.299999999988</v>
      </c>
      <c r="M43" s="20"/>
      <c r="N43" s="20"/>
      <c r="O43" s="20"/>
      <c r="P43" s="20"/>
      <c r="Q43" s="20"/>
      <c r="R43" s="20">
        <v>5757</v>
      </c>
      <c r="S43" s="20">
        <v>247155.28999999998</v>
      </c>
    </row>
    <row r="44" spans="1:19" x14ac:dyDescent="0.3">
      <c r="A44" s="9" t="s">
        <v>117</v>
      </c>
      <c r="B44" s="20"/>
      <c r="C44" s="20"/>
      <c r="D44" s="20"/>
      <c r="E44" s="20"/>
      <c r="F44" s="20"/>
      <c r="G44" s="20">
        <v>71144.36</v>
      </c>
      <c r="H44" s="20"/>
      <c r="I44" s="20"/>
      <c r="J44" s="20"/>
      <c r="K44" s="20">
        <v>18544</v>
      </c>
      <c r="L44" s="20">
        <v>55519.1</v>
      </c>
      <c r="M44" s="20"/>
      <c r="N44" s="20">
        <v>49884.812999999995</v>
      </c>
      <c r="O44" s="20"/>
      <c r="P44" s="20"/>
      <c r="Q44" s="20"/>
      <c r="R44" s="20">
        <v>63947.5</v>
      </c>
      <c r="S44" s="20">
        <v>259039.77299999999</v>
      </c>
    </row>
    <row r="45" spans="1:19" x14ac:dyDescent="0.3">
      <c r="A45" s="9" t="s">
        <v>102</v>
      </c>
      <c r="B45" s="20"/>
      <c r="C45" s="20"/>
      <c r="D45" s="20">
        <v>15808</v>
      </c>
      <c r="E45" s="20"/>
      <c r="F45" s="20"/>
      <c r="G45" s="20"/>
      <c r="H45" s="20">
        <v>56654.57</v>
      </c>
      <c r="I45" s="20"/>
      <c r="J45" s="20"/>
      <c r="K45" s="20"/>
      <c r="L45" s="20"/>
      <c r="M45" s="20">
        <v>9312.5</v>
      </c>
      <c r="N45" s="20">
        <v>26642.022000000001</v>
      </c>
      <c r="O45" s="20"/>
      <c r="P45" s="20">
        <v>6808</v>
      </c>
      <c r="Q45" s="20"/>
      <c r="R45" s="20"/>
      <c r="S45" s="20">
        <v>115225.092</v>
      </c>
    </row>
    <row r="46" spans="1:19" x14ac:dyDescent="0.3">
      <c r="A46" s="9" t="s">
        <v>118</v>
      </c>
      <c r="B46" s="20"/>
      <c r="C46" s="20"/>
      <c r="D46" s="20">
        <v>48997.64</v>
      </c>
      <c r="E46" s="20"/>
      <c r="F46" s="20"/>
      <c r="G46" s="20"/>
      <c r="H46" s="20">
        <v>27994.77</v>
      </c>
      <c r="I46" s="20"/>
      <c r="J46" s="20"/>
      <c r="K46" s="20">
        <v>68008.5</v>
      </c>
      <c r="L46" s="20"/>
      <c r="M46" s="20">
        <v>82452.55</v>
      </c>
      <c r="N46" s="20">
        <v>69722.752000000008</v>
      </c>
      <c r="O46" s="20"/>
      <c r="P46" s="20">
        <v>7981</v>
      </c>
      <c r="Q46" s="20">
        <v>36454.5</v>
      </c>
      <c r="R46" s="20">
        <v>16719.5</v>
      </c>
      <c r="S46" s="20">
        <v>358331.21200000006</v>
      </c>
    </row>
    <row r="47" spans="1:19" x14ac:dyDescent="0.3">
      <c r="A47" s="9" t="s">
        <v>119</v>
      </c>
      <c r="B47" s="20"/>
      <c r="C47" s="20"/>
      <c r="D47" s="20">
        <v>27830.66</v>
      </c>
      <c r="E47" s="20"/>
      <c r="F47" s="20">
        <v>45916</v>
      </c>
      <c r="G47" s="20"/>
      <c r="H47" s="20"/>
      <c r="I47" s="20">
        <v>49673</v>
      </c>
      <c r="J47" s="20"/>
      <c r="K47" s="20"/>
      <c r="L47" s="20"/>
      <c r="M47" s="20">
        <v>14157</v>
      </c>
      <c r="N47" s="20">
        <v>102210.42150000001</v>
      </c>
      <c r="O47" s="20"/>
      <c r="P47" s="20">
        <v>34518.68</v>
      </c>
      <c r="Q47" s="20"/>
      <c r="R47" s="20"/>
      <c r="S47" s="20">
        <v>274305.76150000002</v>
      </c>
    </row>
    <row r="48" spans="1:19" x14ac:dyDescent="0.3">
      <c r="A48" s="9" t="s">
        <v>120</v>
      </c>
      <c r="B48" s="20"/>
      <c r="C48" s="20">
        <v>47283.380100000002</v>
      </c>
      <c r="D48" s="20">
        <v>67991.22</v>
      </c>
      <c r="E48" s="20"/>
      <c r="F48" s="20"/>
      <c r="G48" s="20"/>
      <c r="H48" s="20"/>
      <c r="I48" s="20"/>
      <c r="J48" s="20">
        <v>86426.1</v>
      </c>
      <c r="K48" s="20"/>
      <c r="L48" s="20"/>
      <c r="M48" s="20"/>
      <c r="N48" s="20">
        <v>12018.6</v>
      </c>
      <c r="O48" s="20">
        <v>38039.100000000006</v>
      </c>
      <c r="P48" s="20"/>
      <c r="Q48" s="20">
        <v>6400.73</v>
      </c>
      <c r="R48" s="20"/>
      <c r="S48" s="20">
        <v>258159.13010000004</v>
      </c>
    </row>
    <row r="49" spans="1:19" x14ac:dyDescent="0.3">
      <c r="A49" s="9" t="s">
        <v>121</v>
      </c>
      <c r="B49" s="20"/>
      <c r="C49" s="20"/>
      <c r="D49" s="20">
        <v>14354</v>
      </c>
      <c r="E49" s="20">
        <v>38738.5</v>
      </c>
      <c r="F49" s="20"/>
      <c r="G49" s="20"/>
      <c r="H49" s="20"/>
      <c r="I49" s="20">
        <v>50319</v>
      </c>
      <c r="J49" s="20"/>
      <c r="K49" s="20"/>
      <c r="L49" s="20"/>
      <c r="M49" s="20"/>
      <c r="N49" s="20"/>
      <c r="O49" s="20"/>
      <c r="P49" s="20"/>
      <c r="Q49" s="20"/>
      <c r="R49" s="20"/>
      <c r="S49" s="20">
        <v>103411.5</v>
      </c>
    </row>
    <row r="50" spans="1:19" x14ac:dyDescent="0.3">
      <c r="A50" s="9" t="s">
        <v>122</v>
      </c>
      <c r="B50" s="20">
        <v>6764</v>
      </c>
      <c r="C50" s="20"/>
      <c r="D50" s="20">
        <v>62937</v>
      </c>
      <c r="E50" s="20"/>
      <c r="F50" s="20">
        <v>39548</v>
      </c>
      <c r="G50" s="20">
        <v>6534</v>
      </c>
      <c r="H50" s="20"/>
      <c r="I50" s="20">
        <v>107864.68</v>
      </c>
      <c r="J50" s="20"/>
      <c r="K50" s="20"/>
      <c r="L50" s="20"/>
      <c r="M50" s="20"/>
      <c r="N50" s="20">
        <v>37079.9</v>
      </c>
      <c r="O50" s="20">
        <v>35985.4</v>
      </c>
      <c r="P50" s="20">
        <v>44593.2</v>
      </c>
      <c r="Q50" s="20"/>
      <c r="R50" s="20"/>
      <c r="S50" s="20">
        <v>341306.18</v>
      </c>
    </row>
    <row r="51" spans="1:19" x14ac:dyDescent="0.3">
      <c r="A51" s="9" t="s">
        <v>123</v>
      </c>
      <c r="B51" s="20">
        <v>222253.83000000002</v>
      </c>
      <c r="C51" s="20">
        <v>510163.63464</v>
      </c>
      <c r="D51" s="20">
        <v>410215.91000000003</v>
      </c>
      <c r="E51" s="20">
        <v>186474.56</v>
      </c>
      <c r="F51" s="20">
        <v>472490.87</v>
      </c>
      <c r="G51" s="20">
        <v>702768.174</v>
      </c>
      <c r="H51" s="20">
        <v>336204.29000000004</v>
      </c>
      <c r="I51" s="20">
        <v>356538.18</v>
      </c>
      <c r="J51" s="20">
        <v>195739.34000000003</v>
      </c>
      <c r="K51" s="20">
        <v>306727.90000000002</v>
      </c>
      <c r="L51" s="20">
        <v>135438.39999999999</v>
      </c>
      <c r="M51" s="20">
        <v>124014.3</v>
      </c>
      <c r="N51" s="20">
        <v>501334.75150000007</v>
      </c>
      <c r="O51" s="20">
        <v>424983.35000000009</v>
      </c>
      <c r="P51" s="20">
        <v>521942.37</v>
      </c>
      <c r="Q51" s="20">
        <v>204087.39</v>
      </c>
      <c r="R51" s="20">
        <v>175713.46</v>
      </c>
      <c r="S51" s="20">
        <v>5787090.7101400001</v>
      </c>
    </row>
    <row r="55" spans="1:19" x14ac:dyDescent="0.3">
      <c r="A55" s="4" t="s">
        <v>131</v>
      </c>
    </row>
    <row r="57" spans="1:19" x14ac:dyDescent="0.3">
      <c r="B57" s="1" t="s">
        <v>37</v>
      </c>
      <c r="C57" s="1" t="s">
        <v>38</v>
      </c>
      <c r="D57" s="1" t="s">
        <v>36</v>
      </c>
      <c r="E57" s="1" t="s">
        <v>33</v>
      </c>
      <c r="F57" s="1" t="s">
        <v>43</v>
      </c>
      <c r="G57" s="1" t="s">
        <v>44</v>
      </c>
      <c r="H57" s="1" t="s">
        <v>25</v>
      </c>
      <c r="I57" s="1" t="s">
        <v>35</v>
      </c>
      <c r="J57" s="1" t="s">
        <v>32</v>
      </c>
      <c r="K57" s="1" t="s">
        <v>34</v>
      </c>
      <c r="L57" s="1" t="s">
        <v>30</v>
      </c>
      <c r="M57" s="1" t="s">
        <v>28</v>
      </c>
      <c r="N57" s="1" t="s">
        <v>40</v>
      </c>
      <c r="O57" s="1" t="s">
        <v>39</v>
      </c>
      <c r="P57" s="1" t="s">
        <v>41</v>
      </c>
      <c r="Q57" s="1" t="s">
        <v>31</v>
      </c>
      <c r="R57" s="1" t="s">
        <v>42</v>
      </c>
    </row>
    <row r="58" spans="1:19" x14ac:dyDescent="0.3">
      <c r="A58" s="1" t="s">
        <v>104</v>
      </c>
      <c r="B58" s="14" t="str">
        <f>IFERROR(RANK(B31,B$31:B$50),"")</f>
        <v/>
      </c>
      <c r="C58" s="14">
        <f t="shared" ref="C58:R73" si="8">IFERROR(RANK(C31,C$31:C$50),"")</f>
        <v>2</v>
      </c>
      <c r="D58" s="14">
        <f t="shared" si="8"/>
        <v>6</v>
      </c>
      <c r="E58" s="14">
        <f t="shared" si="8"/>
        <v>2</v>
      </c>
      <c r="F58" s="14">
        <f t="shared" si="8"/>
        <v>4</v>
      </c>
      <c r="G58" s="14" t="str">
        <f t="shared" si="8"/>
        <v/>
      </c>
      <c r="H58" s="14">
        <f t="shared" si="8"/>
        <v>1</v>
      </c>
      <c r="I58" s="14" t="str">
        <f t="shared" si="8"/>
        <v/>
      </c>
      <c r="J58" s="14">
        <f t="shared" si="8"/>
        <v>2</v>
      </c>
      <c r="K58" s="14">
        <f t="shared" si="8"/>
        <v>3</v>
      </c>
      <c r="L58" s="14" t="str">
        <f t="shared" si="8"/>
        <v/>
      </c>
      <c r="M58" s="14" t="str">
        <f t="shared" si="8"/>
        <v/>
      </c>
      <c r="N58" s="14" t="str">
        <f t="shared" si="8"/>
        <v/>
      </c>
      <c r="O58" s="14">
        <f t="shared" si="8"/>
        <v>6</v>
      </c>
      <c r="P58" s="14">
        <f t="shared" si="8"/>
        <v>1</v>
      </c>
      <c r="Q58" s="14" t="str">
        <f t="shared" si="8"/>
        <v/>
      </c>
      <c r="R58" s="14" t="str">
        <f t="shared" si="8"/>
        <v/>
      </c>
    </row>
    <row r="59" spans="1:19" x14ac:dyDescent="0.3">
      <c r="A59" s="1" t="s">
        <v>105</v>
      </c>
      <c r="B59" s="14" t="str">
        <f t="shared" ref="B59:Q77" si="9">IFERROR(RANK(B32,B$31:B$50),"")</f>
        <v/>
      </c>
      <c r="C59" s="14" t="str">
        <f t="shared" si="9"/>
        <v/>
      </c>
      <c r="D59" s="14">
        <f t="shared" si="9"/>
        <v>5</v>
      </c>
      <c r="E59" s="14" t="str">
        <f t="shared" si="9"/>
        <v/>
      </c>
      <c r="F59" s="14">
        <f t="shared" si="9"/>
        <v>1</v>
      </c>
      <c r="G59" s="14" t="str">
        <f t="shared" si="9"/>
        <v/>
      </c>
      <c r="H59" s="14" t="str">
        <f t="shared" si="9"/>
        <v/>
      </c>
      <c r="I59" s="14" t="str">
        <f t="shared" si="9"/>
        <v/>
      </c>
      <c r="J59" s="14" t="str">
        <f t="shared" si="9"/>
        <v/>
      </c>
      <c r="K59" s="14" t="str">
        <f t="shared" si="9"/>
        <v/>
      </c>
      <c r="L59" s="14" t="str">
        <f t="shared" si="9"/>
        <v/>
      </c>
      <c r="M59" s="14" t="str">
        <f t="shared" si="9"/>
        <v/>
      </c>
      <c r="N59" s="14">
        <f t="shared" si="9"/>
        <v>4</v>
      </c>
      <c r="O59" s="14" t="str">
        <f t="shared" si="9"/>
        <v/>
      </c>
      <c r="P59" s="14" t="str">
        <f t="shared" si="9"/>
        <v/>
      </c>
      <c r="Q59" s="14" t="str">
        <f t="shared" si="9"/>
        <v/>
      </c>
      <c r="R59" s="14" t="str">
        <f t="shared" si="8"/>
        <v/>
      </c>
    </row>
    <row r="60" spans="1:19" x14ac:dyDescent="0.3">
      <c r="A60" s="1" t="s">
        <v>106</v>
      </c>
      <c r="B60" s="14" t="str">
        <f t="shared" si="9"/>
        <v/>
      </c>
      <c r="C60" s="14">
        <f t="shared" si="8"/>
        <v>5</v>
      </c>
      <c r="D60" s="14">
        <f t="shared" si="8"/>
        <v>3</v>
      </c>
      <c r="E60" s="14" t="str">
        <f t="shared" si="8"/>
        <v/>
      </c>
      <c r="F60" s="14">
        <f t="shared" si="8"/>
        <v>5</v>
      </c>
      <c r="G60" s="14">
        <f t="shared" si="8"/>
        <v>4</v>
      </c>
      <c r="H60" s="14">
        <f t="shared" si="8"/>
        <v>8</v>
      </c>
      <c r="I60" s="14">
        <f t="shared" si="8"/>
        <v>6</v>
      </c>
      <c r="J60" s="14" t="str">
        <f t="shared" si="8"/>
        <v/>
      </c>
      <c r="K60" s="14" t="str">
        <f t="shared" si="8"/>
        <v/>
      </c>
      <c r="L60" s="14" t="str">
        <f t="shared" si="8"/>
        <v/>
      </c>
      <c r="M60" s="14" t="str">
        <f t="shared" si="8"/>
        <v/>
      </c>
      <c r="N60" s="14" t="str">
        <f t="shared" si="8"/>
        <v/>
      </c>
      <c r="O60" s="14">
        <f t="shared" si="8"/>
        <v>1</v>
      </c>
      <c r="P60" s="14">
        <f t="shared" si="8"/>
        <v>2</v>
      </c>
      <c r="Q60" s="14" t="str">
        <f t="shared" si="8"/>
        <v/>
      </c>
      <c r="R60" s="14" t="str">
        <f t="shared" si="8"/>
        <v/>
      </c>
    </row>
    <row r="61" spans="1:19" x14ac:dyDescent="0.3">
      <c r="A61" s="1" t="s">
        <v>107</v>
      </c>
      <c r="B61" s="14" t="str">
        <f t="shared" si="9"/>
        <v/>
      </c>
      <c r="C61" s="14">
        <f t="shared" si="8"/>
        <v>7</v>
      </c>
      <c r="D61" s="14" t="str">
        <f t="shared" si="8"/>
        <v/>
      </c>
      <c r="E61" s="14" t="str">
        <f t="shared" si="8"/>
        <v/>
      </c>
      <c r="F61" s="14" t="str">
        <f t="shared" si="8"/>
        <v/>
      </c>
      <c r="G61" s="14" t="str">
        <f t="shared" si="8"/>
        <v/>
      </c>
      <c r="H61" s="14">
        <f t="shared" si="8"/>
        <v>4</v>
      </c>
      <c r="I61" s="14">
        <f t="shared" si="8"/>
        <v>2</v>
      </c>
      <c r="J61" s="14" t="str">
        <f t="shared" si="8"/>
        <v/>
      </c>
      <c r="K61" s="14" t="str">
        <f t="shared" si="8"/>
        <v/>
      </c>
      <c r="L61" s="14" t="str">
        <f t="shared" si="8"/>
        <v/>
      </c>
      <c r="M61" s="14" t="str">
        <f t="shared" si="8"/>
        <v/>
      </c>
      <c r="N61" s="14" t="str">
        <f t="shared" si="8"/>
        <v/>
      </c>
      <c r="O61" s="14" t="str">
        <f t="shared" si="8"/>
        <v/>
      </c>
      <c r="P61" s="14">
        <f t="shared" si="8"/>
        <v>5</v>
      </c>
      <c r="Q61" s="14" t="str">
        <f t="shared" si="8"/>
        <v/>
      </c>
      <c r="R61" s="14">
        <f t="shared" si="8"/>
        <v>2</v>
      </c>
    </row>
    <row r="62" spans="1:19" x14ac:dyDescent="0.3">
      <c r="A62" s="1" t="s">
        <v>108</v>
      </c>
      <c r="B62" s="14" t="str">
        <f t="shared" si="9"/>
        <v/>
      </c>
      <c r="C62" s="14">
        <f t="shared" si="8"/>
        <v>4</v>
      </c>
      <c r="D62" s="14" t="str">
        <f t="shared" si="8"/>
        <v/>
      </c>
      <c r="E62" s="14">
        <f t="shared" si="8"/>
        <v>4</v>
      </c>
      <c r="F62" s="14" t="str">
        <f t="shared" si="8"/>
        <v/>
      </c>
      <c r="G62" s="14">
        <f t="shared" si="8"/>
        <v>5</v>
      </c>
      <c r="H62" s="14">
        <f t="shared" si="8"/>
        <v>5</v>
      </c>
      <c r="I62" s="14" t="str">
        <f t="shared" si="8"/>
        <v/>
      </c>
      <c r="J62" s="14">
        <f t="shared" si="8"/>
        <v>3</v>
      </c>
      <c r="K62" s="14" t="str">
        <f t="shared" si="8"/>
        <v/>
      </c>
      <c r="L62" s="14" t="str">
        <f t="shared" si="8"/>
        <v/>
      </c>
      <c r="M62" s="14" t="str">
        <f t="shared" si="8"/>
        <v/>
      </c>
      <c r="N62" s="14" t="str">
        <f t="shared" si="8"/>
        <v/>
      </c>
      <c r="O62" s="14" t="str">
        <f t="shared" si="8"/>
        <v/>
      </c>
      <c r="P62" s="14">
        <f t="shared" si="8"/>
        <v>8</v>
      </c>
      <c r="Q62" s="14" t="str">
        <f t="shared" si="8"/>
        <v/>
      </c>
      <c r="R62" s="14" t="str">
        <f t="shared" si="8"/>
        <v/>
      </c>
    </row>
    <row r="63" spans="1:19" x14ac:dyDescent="0.3">
      <c r="A63" s="1" t="s">
        <v>109</v>
      </c>
      <c r="B63" s="14" t="str">
        <f t="shared" si="9"/>
        <v/>
      </c>
      <c r="C63" s="14">
        <f t="shared" si="8"/>
        <v>1</v>
      </c>
      <c r="D63" s="14" t="str">
        <f t="shared" si="8"/>
        <v/>
      </c>
      <c r="E63" s="14" t="str">
        <f t="shared" si="8"/>
        <v/>
      </c>
      <c r="F63" s="14" t="str">
        <f t="shared" si="8"/>
        <v/>
      </c>
      <c r="G63" s="14" t="str">
        <f t="shared" si="8"/>
        <v/>
      </c>
      <c r="H63" s="14" t="str">
        <f t="shared" si="8"/>
        <v/>
      </c>
      <c r="I63" s="14" t="str">
        <f t="shared" si="8"/>
        <v/>
      </c>
      <c r="J63" s="14" t="str">
        <f t="shared" si="8"/>
        <v/>
      </c>
      <c r="K63" s="14" t="str">
        <f t="shared" si="8"/>
        <v/>
      </c>
      <c r="L63" s="14" t="str">
        <f t="shared" si="8"/>
        <v/>
      </c>
      <c r="M63" s="14" t="str">
        <f t="shared" si="8"/>
        <v/>
      </c>
      <c r="N63" s="14" t="str">
        <f t="shared" si="8"/>
        <v/>
      </c>
      <c r="O63" s="14" t="str">
        <f t="shared" si="8"/>
        <v/>
      </c>
      <c r="P63" s="14">
        <f t="shared" si="8"/>
        <v>6</v>
      </c>
      <c r="Q63" s="14">
        <f t="shared" si="8"/>
        <v>3</v>
      </c>
      <c r="R63" s="14" t="str">
        <f t="shared" si="8"/>
        <v/>
      </c>
    </row>
    <row r="64" spans="1:19" x14ac:dyDescent="0.3">
      <c r="A64" s="1" t="s">
        <v>110</v>
      </c>
      <c r="B64" s="14">
        <f t="shared" si="9"/>
        <v>3</v>
      </c>
      <c r="C64" s="14" t="str">
        <f t="shared" si="8"/>
        <v/>
      </c>
      <c r="D64" s="14" t="str">
        <f t="shared" si="8"/>
        <v/>
      </c>
      <c r="E64" s="14" t="str">
        <f t="shared" si="8"/>
        <v/>
      </c>
      <c r="F64" s="14">
        <f t="shared" si="8"/>
        <v>8</v>
      </c>
      <c r="G64" s="14" t="str">
        <f t="shared" si="8"/>
        <v/>
      </c>
      <c r="H64" s="14" t="str">
        <f t="shared" si="8"/>
        <v/>
      </c>
      <c r="I64" s="14">
        <f t="shared" si="8"/>
        <v>7</v>
      </c>
      <c r="J64" s="14">
        <f t="shared" si="8"/>
        <v>4</v>
      </c>
      <c r="K64" s="14" t="str">
        <f t="shared" si="8"/>
        <v/>
      </c>
      <c r="L64" s="14" t="str">
        <f t="shared" si="8"/>
        <v/>
      </c>
      <c r="M64" s="14" t="str">
        <f t="shared" si="8"/>
        <v/>
      </c>
      <c r="N64" s="14" t="str">
        <f t="shared" si="8"/>
        <v/>
      </c>
      <c r="O64" s="14">
        <f t="shared" si="8"/>
        <v>7</v>
      </c>
      <c r="P64" s="14">
        <f t="shared" si="8"/>
        <v>9</v>
      </c>
      <c r="Q64" s="14" t="str">
        <f t="shared" si="8"/>
        <v/>
      </c>
      <c r="R64" s="14" t="str">
        <f t="shared" si="8"/>
        <v/>
      </c>
    </row>
    <row r="65" spans="1:18" x14ac:dyDescent="0.3">
      <c r="A65" s="1" t="s">
        <v>111</v>
      </c>
      <c r="B65" s="14" t="str">
        <f t="shared" si="9"/>
        <v/>
      </c>
      <c r="C65" s="14">
        <f t="shared" si="8"/>
        <v>3</v>
      </c>
      <c r="D65" s="14">
        <f t="shared" si="8"/>
        <v>11</v>
      </c>
      <c r="E65" s="14">
        <f t="shared" si="8"/>
        <v>1</v>
      </c>
      <c r="F65" s="14">
        <f t="shared" si="8"/>
        <v>3</v>
      </c>
      <c r="G65" s="14">
        <f t="shared" si="8"/>
        <v>2</v>
      </c>
      <c r="H65" s="14" t="str">
        <f t="shared" si="8"/>
        <v/>
      </c>
      <c r="I65" s="14" t="str">
        <f t="shared" si="8"/>
        <v/>
      </c>
      <c r="J65" s="14" t="str">
        <f t="shared" si="8"/>
        <v/>
      </c>
      <c r="K65" s="14">
        <f t="shared" si="8"/>
        <v>4</v>
      </c>
      <c r="L65" s="14" t="str">
        <f t="shared" si="8"/>
        <v/>
      </c>
      <c r="M65" s="14">
        <f t="shared" si="8"/>
        <v>2</v>
      </c>
      <c r="N65" s="14">
        <f t="shared" si="8"/>
        <v>10</v>
      </c>
      <c r="O65" s="14" t="str">
        <f t="shared" si="8"/>
        <v/>
      </c>
      <c r="P65" s="14" t="str">
        <f t="shared" si="8"/>
        <v/>
      </c>
      <c r="Q65" s="14" t="str">
        <f t="shared" si="8"/>
        <v/>
      </c>
      <c r="R65" s="14" t="str">
        <f t="shared" si="8"/>
        <v/>
      </c>
    </row>
    <row r="66" spans="1:18" x14ac:dyDescent="0.3">
      <c r="A66" s="1" t="s">
        <v>112</v>
      </c>
      <c r="B66" s="14" t="str">
        <f t="shared" si="9"/>
        <v/>
      </c>
      <c r="C66" s="14" t="str">
        <f t="shared" si="8"/>
        <v/>
      </c>
      <c r="D66" s="14" t="str">
        <f t="shared" si="8"/>
        <v/>
      </c>
      <c r="E66" s="14" t="str">
        <f t="shared" si="8"/>
        <v/>
      </c>
      <c r="F66" s="14" t="str">
        <f t="shared" si="8"/>
        <v/>
      </c>
      <c r="G66" s="14" t="str">
        <f t="shared" si="8"/>
        <v/>
      </c>
      <c r="H66" s="14" t="str">
        <f t="shared" si="8"/>
        <v/>
      </c>
      <c r="I66" s="14" t="str">
        <f t="shared" si="8"/>
        <v/>
      </c>
      <c r="J66" s="14">
        <f t="shared" si="8"/>
        <v>5</v>
      </c>
      <c r="K66" s="14">
        <f t="shared" si="8"/>
        <v>5</v>
      </c>
      <c r="L66" s="14" t="str">
        <f t="shared" si="8"/>
        <v/>
      </c>
      <c r="M66" s="14" t="str">
        <f t="shared" si="8"/>
        <v/>
      </c>
      <c r="N66" s="14">
        <f t="shared" si="8"/>
        <v>8</v>
      </c>
      <c r="O66" s="14">
        <f t="shared" si="8"/>
        <v>2</v>
      </c>
      <c r="P66" s="14" t="str">
        <f t="shared" si="8"/>
        <v/>
      </c>
      <c r="Q66" s="14">
        <f t="shared" si="8"/>
        <v>2</v>
      </c>
      <c r="R66" s="14">
        <f t="shared" si="8"/>
        <v>5</v>
      </c>
    </row>
    <row r="67" spans="1:18" x14ac:dyDescent="0.3">
      <c r="A67" s="1" t="s">
        <v>113</v>
      </c>
      <c r="B67" s="14">
        <f t="shared" si="9"/>
        <v>4</v>
      </c>
      <c r="C67" s="14">
        <f t="shared" si="8"/>
        <v>8</v>
      </c>
      <c r="D67" s="14" t="str">
        <f t="shared" si="8"/>
        <v/>
      </c>
      <c r="E67" s="14" t="str">
        <f t="shared" si="8"/>
        <v/>
      </c>
      <c r="F67" s="14" t="str">
        <f t="shared" si="8"/>
        <v/>
      </c>
      <c r="G67" s="14">
        <f t="shared" si="8"/>
        <v>8</v>
      </c>
      <c r="H67" s="14" t="str">
        <f t="shared" si="8"/>
        <v/>
      </c>
      <c r="I67" s="14" t="str">
        <f t="shared" si="8"/>
        <v/>
      </c>
      <c r="J67" s="14" t="str">
        <f t="shared" si="8"/>
        <v/>
      </c>
      <c r="K67" s="14" t="str">
        <f t="shared" si="8"/>
        <v/>
      </c>
      <c r="L67" s="14" t="str">
        <f t="shared" si="8"/>
        <v/>
      </c>
      <c r="M67" s="14" t="str">
        <f t="shared" si="8"/>
        <v/>
      </c>
      <c r="N67" s="14">
        <f t="shared" si="8"/>
        <v>3</v>
      </c>
      <c r="O67" s="14">
        <f t="shared" si="8"/>
        <v>3</v>
      </c>
      <c r="P67" s="14" t="str">
        <f t="shared" si="8"/>
        <v/>
      </c>
      <c r="Q67" s="14">
        <f t="shared" si="8"/>
        <v>1</v>
      </c>
      <c r="R67" s="14" t="str">
        <f t="shared" si="8"/>
        <v/>
      </c>
    </row>
    <row r="68" spans="1:18" x14ac:dyDescent="0.3">
      <c r="A68" s="1" t="s">
        <v>114</v>
      </c>
      <c r="B68" s="14" t="str">
        <f t="shared" si="9"/>
        <v/>
      </c>
      <c r="C68" s="14" t="str">
        <f t="shared" si="8"/>
        <v/>
      </c>
      <c r="D68" s="14" t="str">
        <f t="shared" si="8"/>
        <v/>
      </c>
      <c r="E68" s="14" t="str">
        <f t="shared" si="8"/>
        <v/>
      </c>
      <c r="F68" s="14">
        <f t="shared" si="8"/>
        <v>9</v>
      </c>
      <c r="G68" s="14">
        <f t="shared" si="8"/>
        <v>1</v>
      </c>
      <c r="H68" s="14" t="str">
        <f t="shared" si="8"/>
        <v/>
      </c>
      <c r="I68" s="14" t="str">
        <f t="shared" si="8"/>
        <v/>
      </c>
      <c r="J68" s="14" t="str">
        <f t="shared" si="8"/>
        <v/>
      </c>
      <c r="K68" s="14">
        <f t="shared" si="8"/>
        <v>1</v>
      </c>
      <c r="L68" s="14" t="str">
        <f t="shared" si="8"/>
        <v/>
      </c>
      <c r="M68" s="14" t="str">
        <f t="shared" si="8"/>
        <v/>
      </c>
      <c r="N68" s="14">
        <f t="shared" si="8"/>
        <v>7</v>
      </c>
      <c r="O68" s="14" t="str">
        <f t="shared" si="8"/>
        <v/>
      </c>
      <c r="P68" s="14" t="str">
        <f t="shared" si="8"/>
        <v/>
      </c>
      <c r="Q68" s="14" t="str">
        <f t="shared" si="8"/>
        <v/>
      </c>
      <c r="R68" s="14">
        <f t="shared" si="8"/>
        <v>3</v>
      </c>
    </row>
    <row r="69" spans="1:18" x14ac:dyDescent="0.3">
      <c r="A69" s="1" t="s">
        <v>115</v>
      </c>
      <c r="B69" s="14">
        <f t="shared" si="9"/>
        <v>2</v>
      </c>
      <c r="C69" s="14">
        <f t="shared" si="8"/>
        <v>9</v>
      </c>
      <c r="D69" s="14">
        <f t="shared" si="8"/>
        <v>7</v>
      </c>
      <c r="E69" s="14" t="str">
        <f t="shared" si="8"/>
        <v/>
      </c>
      <c r="F69" s="14">
        <f t="shared" si="8"/>
        <v>2</v>
      </c>
      <c r="G69" s="14">
        <f t="shared" si="8"/>
        <v>6</v>
      </c>
      <c r="H69" s="14">
        <f t="shared" si="8"/>
        <v>3</v>
      </c>
      <c r="I69" s="14">
        <f t="shared" si="8"/>
        <v>5</v>
      </c>
      <c r="J69" s="14" t="str">
        <f t="shared" si="8"/>
        <v/>
      </c>
      <c r="K69" s="14" t="str">
        <f t="shared" si="8"/>
        <v/>
      </c>
      <c r="L69" s="14" t="str">
        <f t="shared" si="8"/>
        <v/>
      </c>
      <c r="M69" s="14" t="str">
        <f t="shared" si="8"/>
        <v/>
      </c>
      <c r="N69" s="14" t="str">
        <f t="shared" si="8"/>
        <v/>
      </c>
      <c r="O69" s="14" t="str">
        <f t="shared" si="8"/>
        <v/>
      </c>
      <c r="P69" s="14">
        <f t="shared" si="8"/>
        <v>3</v>
      </c>
      <c r="Q69" s="14" t="str">
        <f t="shared" si="8"/>
        <v/>
      </c>
      <c r="R69" s="14" t="str">
        <f t="shared" si="8"/>
        <v/>
      </c>
    </row>
    <row r="70" spans="1:18" x14ac:dyDescent="0.3">
      <c r="A70" s="1" t="s">
        <v>116</v>
      </c>
      <c r="B70" s="14">
        <f t="shared" si="9"/>
        <v>1</v>
      </c>
      <c r="C70" s="14" t="str">
        <f t="shared" si="8"/>
        <v/>
      </c>
      <c r="D70" s="14">
        <f t="shared" si="8"/>
        <v>12</v>
      </c>
      <c r="E70" s="14" t="str">
        <f t="shared" si="8"/>
        <v/>
      </c>
      <c r="F70" s="14" t="str">
        <f t="shared" si="8"/>
        <v/>
      </c>
      <c r="G70" s="14">
        <f t="shared" si="8"/>
        <v>7</v>
      </c>
      <c r="H70" s="14">
        <f t="shared" si="8"/>
        <v>7</v>
      </c>
      <c r="I70" s="14" t="str">
        <f t="shared" si="8"/>
        <v/>
      </c>
      <c r="J70" s="14" t="str">
        <f t="shared" si="8"/>
        <v/>
      </c>
      <c r="K70" s="14" t="str">
        <f t="shared" si="8"/>
        <v/>
      </c>
      <c r="L70" s="14">
        <f t="shared" si="8"/>
        <v>1</v>
      </c>
      <c r="M70" s="14" t="str">
        <f t="shared" si="8"/>
        <v/>
      </c>
      <c r="N70" s="14" t="str">
        <f t="shared" si="8"/>
        <v/>
      </c>
      <c r="O70" s="14" t="str">
        <f t="shared" si="8"/>
        <v/>
      </c>
      <c r="P70" s="14" t="str">
        <f t="shared" si="8"/>
        <v/>
      </c>
      <c r="Q70" s="14" t="str">
        <f t="shared" si="8"/>
        <v/>
      </c>
      <c r="R70" s="14">
        <f t="shared" si="8"/>
        <v>6</v>
      </c>
    </row>
    <row r="71" spans="1:18" x14ac:dyDescent="0.3">
      <c r="A71" s="1" t="s">
        <v>117</v>
      </c>
      <c r="B71" s="14" t="str">
        <f t="shared" si="9"/>
        <v/>
      </c>
      <c r="C71" s="14" t="str">
        <f t="shared" si="8"/>
        <v/>
      </c>
      <c r="D71" s="14" t="str">
        <f t="shared" si="8"/>
        <v/>
      </c>
      <c r="E71" s="14" t="str">
        <f t="shared" si="8"/>
        <v/>
      </c>
      <c r="F71" s="14" t="str">
        <f t="shared" si="8"/>
        <v/>
      </c>
      <c r="G71" s="14">
        <f t="shared" si="8"/>
        <v>3</v>
      </c>
      <c r="H71" s="14" t="str">
        <f t="shared" si="8"/>
        <v/>
      </c>
      <c r="I71" s="14" t="str">
        <f t="shared" si="8"/>
        <v/>
      </c>
      <c r="J71" s="14" t="str">
        <f t="shared" si="8"/>
        <v/>
      </c>
      <c r="K71" s="14">
        <f t="shared" si="8"/>
        <v>6</v>
      </c>
      <c r="L71" s="14">
        <f t="shared" si="8"/>
        <v>2</v>
      </c>
      <c r="M71" s="14" t="str">
        <f t="shared" si="8"/>
        <v/>
      </c>
      <c r="N71" s="14">
        <f t="shared" si="8"/>
        <v>5</v>
      </c>
      <c r="O71" s="14" t="str">
        <f t="shared" si="8"/>
        <v/>
      </c>
      <c r="P71" s="14" t="str">
        <f t="shared" si="8"/>
        <v/>
      </c>
      <c r="Q71" s="14" t="str">
        <f t="shared" si="8"/>
        <v/>
      </c>
      <c r="R71" s="14">
        <f t="shared" si="8"/>
        <v>1</v>
      </c>
    </row>
    <row r="72" spans="1:18" x14ac:dyDescent="0.3">
      <c r="A72" s="1" t="s">
        <v>102</v>
      </c>
      <c r="B72" s="14" t="str">
        <f t="shared" si="9"/>
        <v/>
      </c>
      <c r="C72" s="14" t="str">
        <f t="shared" si="8"/>
        <v/>
      </c>
      <c r="D72" s="14">
        <f t="shared" si="8"/>
        <v>9</v>
      </c>
      <c r="E72" s="14" t="str">
        <f t="shared" si="8"/>
        <v/>
      </c>
      <c r="F72" s="14" t="str">
        <f t="shared" si="8"/>
        <v/>
      </c>
      <c r="G72" s="14" t="str">
        <f t="shared" si="8"/>
        <v/>
      </c>
      <c r="H72" s="14">
        <f t="shared" si="8"/>
        <v>2</v>
      </c>
      <c r="I72" s="14" t="str">
        <f t="shared" si="8"/>
        <v/>
      </c>
      <c r="J72" s="14" t="str">
        <f t="shared" si="8"/>
        <v/>
      </c>
      <c r="K72" s="14" t="str">
        <f t="shared" si="8"/>
        <v/>
      </c>
      <c r="L72" s="14" t="str">
        <f t="shared" si="8"/>
        <v/>
      </c>
      <c r="M72" s="14">
        <f t="shared" si="8"/>
        <v>4</v>
      </c>
      <c r="N72" s="14">
        <f t="shared" si="8"/>
        <v>9</v>
      </c>
      <c r="O72" s="14" t="str">
        <f t="shared" si="8"/>
        <v/>
      </c>
      <c r="P72" s="14">
        <f t="shared" si="8"/>
        <v>11</v>
      </c>
      <c r="Q72" s="14" t="str">
        <f t="shared" si="8"/>
        <v/>
      </c>
      <c r="R72" s="14" t="str">
        <f t="shared" si="8"/>
        <v/>
      </c>
    </row>
    <row r="73" spans="1:18" x14ac:dyDescent="0.3">
      <c r="A73" s="1" t="s">
        <v>118</v>
      </c>
      <c r="B73" s="14" t="str">
        <f t="shared" si="9"/>
        <v/>
      </c>
      <c r="C73" s="14" t="str">
        <f t="shared" si="8"/>
        <v/>
      </c>
      <c r="D73" s="14">
        <f t="shared" si="8"/>
        <v>4</v>
      </c>
      <c r="E73" s="14" t="str">
        <f t="shared" si="8"/>
        <v/>
      </c>
      <c r="F73" s="14" t="str">
        <f t="shared" si="8"/>
        <v/>
      </c>
      <c r="G73" s="14" t="str">
        <f t="shared" si="8"/>
        <v/>
      </c>
      <c r="H73" s="14">
        <f t="shared" si="8"/>
        <v>6</v>
      </c>
      <c r="I73" s="14" t="str">
        <f t="shared" si="8"/>
        <v/>
      </c>
      <c r="J73" s="14" t="str">
        <f t="shared" si="8"/>
        <v/>
      </c>
      <c r="K73" s="14">
        <f t="shared" si="8"/>
        <v>2</v>
      </c>
      <c r="L73" s="14" t="str">
        <f t="shared" si="8"/>
        <v/>
      </c>
      <c r="M73" s="14">
        <f t="shared" si="8"/>
        <v>1</v>
      </c>
      <c r="N73" s="14">
        <f t="shared" si="8"/>
        <v>2</v>
      </c>
      <c r="O73" s="14" t="str">
        <f t="shared" si="8"/>
        <v/>
      </c>
      <c r="P73" s="14">
        <f t="shared" si="8"/>
        <v>10</v>
      </c>
      <c r="Q73" s="14">
        <f t="shared" si="8"/>
        <v>4</v>
      </c>
      <c r="R73" s="14">
        <f t="shared" si="8"/>
        <v>4</v>
      </c>
    </row>
    <row r="74" spans="1:18" x14ac:dyDescent="0.3">
      <c r="A74" s="1" t="s">
        <v>119</v>
      </c>
      <c r="B74" s="14" t="str">
        <f t="shared" si="9"/>
        <v/>
      </c>
      <c r="C74" s="14" t="str">
        <f t="shared" ref="C74:R77" si="10">IFERROR(RANK(C47,C$31:C$50),"")</f>
        <v/>
      </c>
      <c r="D74" s="14">
        <f t="shared" si="10"/>
        <v>8</v>
      </c>
      <c r="E74" s="14" t="str">
        <f t="shared" si="10"/>
        <v/>
      </c>
      <c r="F74" s="14">
        <f t="shared" si="10"/>
        <v>6</v>
      </c>
      <c r="G74" s="14" t="str">
        <f t="shared" si="10"/>
        <v/>
      </c>
      <c r="H74" s="14" t="str">
        <f t="shared" si="10"/>
        <v/>
      </c>
      <c r="I74" s="14">
        <f t="shared" si="10"/>
        <v>4</v>
      </c>
      <c r="J74" s="14" t="str">
        <f t="shared" si="10"/>
        <v/>
      </c>
      <c r="K74" s="14" t="str">
        <f t="shared" si="10"/>
        <v/>
      </c>
      <c r="L74" s="14" t="str">
        <f t="shared" si="10"/>
        <v/>
      </c>
      <c r="M74" s="14">
        <f t="shared" si="10"/>
        <v>3</v>
      </c>
      <c r="N74" s="14">
        <f t="shared" si="10"/>
        <v>1</v>
      </c>
      <c r="O74" s="14" t="str">
        <f t="shared" si="10"/>
        <v/>
      </c>
      <c r="P74" s="14">
        <f t="shared" si="10"/>
        <v>7</v>
      </c>
      <c r="Q74" s="14" t="str">
        <f t="shared" si="10"/>
        <v/>
      </c>
      <c r="R74" s="14" t="str">
        <f t="shared" si="10"/>
        <v/>
      </c>
    </row>
    <row r="75" spans="1:18" x14ac:dyDescent="0.3">
      <c r="A75" s="1" t="s">
        <v>120</v>
      </c>
      <c r="B75" s="14" t="str">
        <f t="shared" si="9"/>
        <v/>
      </c>
      <c r="C75" s="14">
        <f t="shared" si="10"/>
        <v>6</v>
      </c>
      <c r="D75" s="14">
        <f t="shared" si="10"/>
        <v>1</v>
      </c>
      <c r="E75" s="14" t="str">
        <f t="shared" si="10"/>
        <v/>
      </c>
      <c r="F75" s="14" t="str">
        <f t="shared" si="10"/>
        <v/>
      </c>
      <c r="G75" s="14" t="str">
        <f t="shared" si="10"/>
        <v/>
      </c>
      <c r="H75" s="14" t="str">
        <f t="shared" si="10"/>
        <v/>
      </c>
      <c r="I75" s="14" t="str">
        <f t="shared" si="10"/>
        <v/>
      </c>
      <c r="J75" s="14">
        <f t="shared" si="10"/>
        <v>1</v>
      </c>
      <c r="K75" s="14" t="str">
        <f t="shared" si="10"/>
        <v/>
      </c>
      <c r="L75" s="14" t="str">
        <f t="shared" si="10"/>
        <v/>
      </c>
      <c r="M75" s="14" t="str">
        <f t="shared" si="10"/>
        <v/>
      </c>
      <c r="N75" s="14">
        <f t="shared" si="10"/>
        <v>11</v>
      </c>
      <c r="O75" s="14">
        <f t="shared" si="10"/>
        <v>4</v>
      </c>
      <c r="P75" s="14" t="str">
        <f t="shared" si="10"/>
        <v/>
      </c>
      <c r="Q75" s="14">
        <f t="shared" si="10"/>
        <v>5</v>
      </c>
      <c r="R75" s="14" t="str">
        <f t="shared" si="10"/>
        <v/>
      </c>
    </row>
    <row r="76" spans="1:18" x14ac:dyDescent="0.3">
      <c r="A76" s="1" t="s">
        <v>121</v>
      </c>
      <c r="B76" s="14" t="str">
        <f t="shared" si="9"/>
        <v/>
      </c>
      <c r="C76" s="14" t="str">
        <f t="shared" si="10"/>
        <v/>
      </c>
      <c r="D76" s="14">
        <f t="shared" si="10"/>
        <v>10</v>
      </c>
      <c r="E76" s="14">
        <f t="shared" si="10"/>
        <v>3</v>
      </c>
      <c r="F76" s="14" t="str">
        <f t="shared" si="10"/>
        <v/>
      </c>
      <c r="G76" s="14" t="str">
        <f t="shared" si="10"/>
        <v/>
      </c>
      <c r="H76" s="14" t="str">
        <f t="shared" si="10"/>
        <v/>
      </c>
      <c r="I76" s="14">
        <f t="shared" si="10"/>
        <v>3</v>
      </c>
      <c r="J76" s="14" t="str">
        <f t="shared" si="10"/>
        <v/>
      </c>
      <c r="K76" s="14" t="str">
        <f t="shared" si="10"/>
        <v/>
      </c>
      <c r="L76" s="14" t="str">
        <f t="shared" si="10"/>
        <v/>
      </c>
      <c r="M76" s="14" t="str">
        <f t="shared" si="10"/>
        <v/>
      </c>
      <c r="N76" s="14" t="str">
        <f t="shared" si="10"/>
        <v/>
      </c>
      <c r="O76" s="14" t="str">
        <f t="shared" si="10"/>
        <v/>
      </c>
      <c r="P76" s="14" t="str">
        <f t="shared" si="10"/>
        <v/>
      </c>
      <c r="Q76" s="14" t="str">
        <f t="shared" si="10"/>
        <v/>
      </c>
      <c r="R76" s="14" t="str">
        <f t="shared" si="10"/>
        <v/>
      </c>
    </row>
    <row r="77" spans="1:18" x14ac:dyDescent="0.3">
      <c r="A77" s="1" t="s">
        <v>122</v>
      </c>
      <c r="B77" s="14">
        <f t="shared" si="9"/>
        <v>5</v>
      </c>
      <c r="C77" s="14" t="str">
        <f t="shared" si="10"/>
        <v/>
      </c>
      <c r="D77" s="14">
        <f t="shared" si="10"/>
        <v>2</v>
      </c>
      <c r="E77" s="14" t="str">
        <f t="shared" si="10"/>
        <v/>
      </c>
      <c r="F77" s="14">
        <f t="shared" si="10"/>
        <v>7</v>
      </c>
      <c r="G77" s="14">
        <f t="shared" si="10"/>
        <v>9</v>
      </c>
      <c r="H77" s="14" t="str">
        <f t="shared" si="10"/>
        <v/>
      </c>
      <c r="I77" s="14">
        <f t="shared" si="10"/>
        <v>1</v>
      </c>
      <c r="J77" s="14" t="str">
        <f t="shared" si="10"/>
        <v/>
      </c>
      <c r="K77" s="14" t="str">
        <f t="shared" si="10"/>
        <v/>
      </c>
      <c r="L77" s="14" t="str">
        <f t="shared" si="10"/>
        <v/>
      </c>
      <c r="M77" s="14" t="str">
        <f t="shared" si="10"/>
        <v/>
      </c>
      <c r="N77" s="14">
        <f t="shared" si="10"/>
        <v>6</v>
      </c>
      <c r="O77" s="14">
        <f t="shared" si="10"/>
        <v>5</v>
      </c>
      <c r="P77" s="14">
        <f t="shared" si="10"/>
        <v>4</v>
      </c>
      <c r="Q77" s="14" t="str">
        <f t="shared" si="10"/>
        <v/>
      </c>
      <c r="R77" s="14" t="str">
        <f t="shared" si="1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8845-7809-4617-A79A-4F76AFC03B32}">
  <sheetPr>
    <tabColor rgb="FFC00000"/>
  </sheetPr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BB9B-28B5-4300-910D-2EB419204C95}">
  <dimension ref="A1:L158"/>
  <sheetViews>
    <sheetView workbookViewId="0">
      <pane xSplit="4" ySplit="3" topLeftCell="E133" activePane="bottomRight" state="frozen"/>
      <selection pane="topRight" activeCell="D1" sqref="D1"/>
      <selection pane="bottomLeft" activeCell="A4" sqref="A4"/>
      <selection pane="bottomRight" activeCell="A3" sqref="A3:H158"/>
    </sheetView>
  </sheetViews>
  <sheetFormatPr defaultRowHeight="14.4" x14ac:dyDescent="0.3"/>
  <cols>
    <col min="1" max="1" width="13.5546875" customWidth="1"/>
    <col min="2" max="2" width="11.33203125" bestFit="1" customWidth="1"/>
    <col min="3" max="3" width="17.6640625" bestFit="1" customWidth="1"/>
    <col min="4" max="4" width="12.33203125" bestFit="1" customWidth="1"/>
    <col min="5" max="5" width="10.44140625" bestFit="1" customWidth="1"/>
    <col min="6" max="6" width="11.109375" bestFit="1" customWidth="1"/>
    <col min="7" max="7" width="8.44140625" bestFit="1" customWidth="1"/>
    <col min="8" max="8" width="11.109375" bestFit="1" customWidth="1"/>
    <col min="10" max="10" width="13.21875" bestFit="1" customWidth="1"/>
    <col min="12" max="12" width="11.21875" bestFit="1" customWidth="1"/>
  </cols>
  <sheetData>
    <row r="1" spans="1:12" ht="15.6" x14ac:dyDescent="0.3">
      <c r="A1" s="2" t="s">
        <v>45</v>
      </c>
    </row>
    <row r="3" spans="1:12" ht="28.8" customHeight="1" x14ac:dyDescent="0.3">
      <c r="A3" s="11" t="s">
        <v>18</v>
      </c>
      <c r="B3" s="11" t="s">
        <v>19</v>
      </c>
      <c r="C3" s="11" t="s">
        <v>100</v>
      </c>
      <c r="D3" s="11" t="s">
        <v>20</v>
      </c>
      <c r="E3" s="12" t="s">
        <v>21</v>
      </c>
      <c r="F3" s="12" t="s">
        <v>22</v>
      </c>
      <c r="G3" s="12" t="s">
        <v>23</v>
      </c>
      <c r="H3" s="12" t="s">
        <v>24</v>
      </c>
      <c r="K3" s="15" t="s">
        <v>101</v>
      </c>
      <c r="L3" s="15" t="s">
        <v>21</v>
      </c>
    </row>
    <row r="4" spans="1:12" x14ac:dyDescent="0.3">
      <c r="A4" t="s">
        <v>25</v>
      </c>
      <c r="B4">
        <v>8262231</v>
      </c>
      <c r="C4" s="14" t="str">
        <f>INDEX(Product_author_data__3[All-in-one],MATCH(Sales!$B4,Product_author_data__3[Course ID],0))</f>
        <v>Michael Jones</v>
      </c>
      <c r="D4" t="s">
        <v>26</v>
      </c>
      <c r="E4" s="13">
        <v>77609</v>
      </c>
      <c r="F4" s="13">
        <v>56654.57</v>
      </c>
      <c r="G4" s="13">
        <v>1688</v>
      </c>
      <c r="H4" s="13">
        <v>1990</v>
      </c>
    </row>
    <row r="5" spans="1:12" x14ac:dyDescent="0.3">
      <c r="A5" t="s">
        <v>25</v>
      </c>
      <c r="B5">
        <v>2630173</v>
      </c>
      <c r="C5" s="14" t="str">
        <f>INDEX(Product_author_data__3[All-in-one],MATCH(Sales!$B5,Product_author_data__3[Course ID],0))</f>
        <v>Ana Nacho</v>
      </c>
      <c r="D5" t="s">
        <v>27</v>
      </c>
      <c r="E5" s="13">
        <v>80092</v>
      </c>
      <c r="F5" s="13">
        <v>40046</v>
      </c>
      <c r="G5" s="13">
        <v>7282</v>
      </c>
      <c r="H5" s="13">
        <v>1484</v>
      </c>
      <c r="J5" s="16" t="s">
        <v>102</v>
      </c>
      <c r="K5" s="14">
        <f>COUNTIF(C4:C158,J5)</f>
        <v>5</v>
      </c>
      <c r="L5" s="17">
        <f>SUMIF(C4:C158,J5,E4:E158)</f>
        <v>178163</v>
      </c>
    </row>
    <row r="6" spans="1:12" x14ac:dyDescent="0.3">
      <c r="A6" t="s">
        <v>25</v>
      </c>
      <c r="B6">
        <v>4294093</v>
      </c>
      <c r="C6" s="14" t="str">
        <f>INDEX(Product_author_data__3[All-in-one],MATCH(Sales!$B6,Product_author_data__3[Course ID],0))</f>
        <v>John Silver</v>
      </c>
      <c r="D6" t="s">
        <v>27</v>
      </c>
      <c r="E6" s="13">
        <v>84511</v>
      </c>
      <c r="F6" s="13">
        <v>42255.5</v>
      </c>
      <c r="G6" s="13">
        <v>1838</v>
      </c>
      <c r="H6" s="13">
        <v>693</v>
      </c>
      <c r="J6" s="16" t="s">
        <v>26</v>
      </c>
      <c r="K6" s="14">
        <f>COUNTIFS(C4:C158,J5,D4:D158,J6)</f>
        <v>2</v>
      </c>
      <c r="L6" s="17">
        <f>SUMIFS(E4:E158,C4:C158,J5,D4:D158,J6)</f>
        <v>109225</v>
      </c>
    </row>
    <row r="7" spans="1:12" x14ac:dyDescent="0.3">
      <c r="A7" t="s">
        <v>25</v>
      </c>
      <c r="B7">
        <v>7612474</v>
      </c>
      <c r="C7" s="14" t="str">
        <f>INDEX(Product_author_data__3[All-in-one],MATCH(Sales!$B7,Product_author_data__3[Course ID],0))</f>
        <v>Liz Soomin</v>
      </c>
      <c r="D7" t="s">
        <v>27</v>
      </c>
      <c r="E7" s="13">
        <v>46259</v>
      </c>
      <c r="F7" s="13">
        <v>23129.5</v>
      </c>
      <c r="G7" s="13">
        <v>785</v>
      </c>
      <c r="H7" s="13">
        <v>473</v>
      </c>
    </row>
    <row r="8" spans="1:12" x14ac:dyDescent="0.3">
      <c r="A8" t="s">
        <v>25</v>
      </c>
      <c r="B8">
        <v>7610928</v>
      </c>
      <c r="C8" s="14" t="str">
        <f>INDEX(Product_author_data__3[All-in-one],MATCH(Sales!$B8,Product_author_data__3[Course ID],0))</f>
        <v>Phil Kane</v>
      </c>
      <c r="D8" t="s">
        <v>26</v>
      </c>
      <c r="E8" s="13">
        <v>38349</v>
      </c>
      <c r="F8" s="13">
        <v>27994.77</v>
      </c>
      <c r="G8" s="13">
        <v>936</v>
      </c>
      <c r="H8" s="13">
        <v>799</v>
      </c>
    </row>
    <row r="9" spans="1:12" x14ac:dyDescent="0.3">
      <c r="A9" t="s">
        <v>25</v>
      </c>
      <c r="B9">
        <v>7051703</v>
      </c>
      <c r="C9" s="14" t="str">
        <f>INDEX(Product_author_data__3[All-in-one],MATCH(Sales!$B9,Product_author_data__3[Course ID],0))</f>
        <v>John Silver</v>
      </c>
      <c r="D9" t="s">
        <v>27</v>
      </c>
      <c r="E9" s="13">
        <v>23248</v>
      </c>
      <c r="F9" s="13">
        <v>11624</v>
      </c>
      <c r="G9" s="13">
        <v>1368</v>
      </c>
      <c r="H9" s="13">
        <v>315</v>
      </c>
    </row>
    <row r="10" spans="1:12" x14ac:dyDescent="0.3">
      <c r="A10" t="s">
        <v>25</v>
      </c>
      <c r="B10">
        <v>7972207</v>
      </c>
      <c r="C10" s="14" t="str">
        <f>INDEX(Product_author_data__3[All-in-one],MATCH(Sales!$B10,Product_author_data__3[Course ID],0))</f>
        <v>Angie Lee</v>
      </c>
      <c r="D10" t="s">
        <v>26</v>
      </c>
      <c r="E10" s="13">
        <v>89486</v>
      </c>
      <c r="F10" s="13">
        <v>44743</v>
      </c>
      <c r="G10" s="13">
        <v>2183</v>
      </c>
      <c r="H10" s="13">
        <v>1119</v>
      </c>
    </row>
    <row r="11" spans="1:12" x14ac:dyDescent="0.3">
      <c r="A11" t="s">
        <v>25</v>
      </c>
      <c r="B11">
        <v>8878879</v>
      </c>
      <c r="C11" s="14" t="str">
        <f>INDEX(Product_author_data__3[All-in-one],MATCH(Sales!$B11,Product_author_data__3[Course ID],0))</f>
        <v>Ana Nacho</v>
      </c>
      <c r="D11" t="s">
        <v>27</v>
      </c>
      <c r="E11" s="13">
        <v>58528</v>
      </c>
      <c r="F11" s="13">
        <v>39213.760000000002</v>
      </c>
      <c r="G11" s="13">
        <v>901</v>
      </c>
      <c r="H11" s="13">
        <v>861</v>
      </c>
    </row>
    <row r="12" spans="1:12" x14ac:dyDescent="0.3">
      <c r="A12" t="s">
        <v>25</v>
      </c>
      <c r="B12">
        <v>5228531</v>
      </c>
      <c r="C12" s="14" t="str">
        <f>INDEX(Product_author_data__3[All-in-one],MATCH(Sales!$B12,Product_author_data__3[Course ID],0))</f>
        <v>Andrew Lim</v>
      </c>
      <c r="D12" t="s">
        <v>26</v>
      </c>
      <c r="E12" s="13">
        <v>22616</v>
      </c>
      <c r="F12" s="13">
        <v>18318.960000000003</v>
      </c>
      <c r="G12" s="13">
        <v>333</v>
      </c>
      <c r="H12" s="13">
        <v>390</v>
      </c>
    </row>
    <row r="13" spans="1:12" x14ac:dyDescent="0.3">
      <c r="A13" t="s">
        <v>25</v>
      </c>
      <c r="B13">
        <v>5772111</v>
      </c>
      <c r="C13" s="14" t="str">
        <f>INDEX(Product_author_data__3[All-in-one],MATCH(Sales!$B13,Product_author_data__3[Course ID],0))</f>
        <v>Daniel Gulady</v>
      </c>
      <c r="D13" t="s">
        <v>26</v>
      </c>
      <c r="E13" s="13">
        <v>39783</v>
      </c>
      <c r="F13" s="13">
        <v>32224.230000000003</v>
      </c>
      <c r="G13" s="13">
        <v>2842</v>
      </c>
      <c r="H13" s="13">
        <v>9946</v>
      </c>
    </row>
    <row r="14" spans="1:12" x14ac:dyDescent="0.3">
      <c r="A14" t="s">
        <v>28</v>
      </c>
      <c r="B14">
        <v>9678217</v>
      </c>
      <c r="C14" s="14" t="str">
        <f>INDEX(Product_author_data__3[All-in-one],MATCH(Sales!$B14,Product_author_data__3[Course ID],0))</f>
        <v>Phil Kane</v>
      </c>
      <c r="D14" t="s">
        <v>29</v>
      </c>
      <c r="E14" s="13">
        <v>97003</v>
      </c>
      <c r="F14" s="13">
        <v>82452.55</v>
      </c>
      <c r="G14" s="13">
        <v>4851</v>
      </c>
      <c r="H14" s="13">
        <v>5390</v>
      </c>
    </row>
    <row r="15" spans="1:12" x14ac:dyDescent="0.3">
      <c r="A15" t="s">
        <v>28</v>
      </c>
      <c r="B15">
        <v>2902210</v>
      </c>
      <c r="C15" s="14" t="str">
        <f>INDEX(Product_author_data__3[All-in-one],MATCH(Sales!$B15,Product_author_data__3[Course ID],0))</f>
        <v>Helen Bison</v>
      </c>
      <c r="D15" t="s">
        <v>26</v>
      </c>
      <c r="E15" s="13">
        <v>21285</v>
      </c>
      <c r="F15" s="13">
        <v>18092.25</v>
      </c>
      <c r="G15" s="13">
        <v>609</v>
      </c>
      <c r="H15" s="13">
        <v>463</v>
      </c>
    </row>
    <row r="16" spans="1:12" x14ac:dyDescent="0.3">
      <c r="A16" t="s">
        <v>28</v>
      </c>
      <c r="B16">
        <v>4628535</v>
      </c>
      <c r="C16" s="14" t="str">
        <f>INDEX(Product_author_data__3[All-in-one],MATCH(Sales!$B16,Product_author_data__3[Course ID],0))</f>
        <v>Michael Jones</v>
      </c>
      <c r="D16" t="s">
        <v>29</v>
      </c>
      <c r="E16" s="13">
        <v>18625</v>
      </c>
      <c r="F16" s="13">
        <v>9312.5</v>
      </c>
      <c r="G16" s="13">
        <v>270</v>
      </c>
      <c r="H16" s="13">
        <v>130</v>
      </c>
    </row>
    <row r="17" spans="1:8" x14ac:dyDescent="0.3">
      <c r="A17" t="s">
        <v>28</v>
      </c>
      <c r="B17">
        <v>4102117</v>
      </c>
      <c r="C17" s="14" t="str">
        <f>INDEX(Product_author_data__3[All-in-one],MATCH(Sales!$B17,Product_author_data__3[Course ID],0))</f>
        <v>Reuben Long</v>
      </c>
      <c r="D17" t="s">
        <v>26</v>
      </c>
      <c r="E17" s="13">
        <v>28314</v>
      </c>
      <c r="F17" s="13">
        <v>14157</v>
      </c>
      <c r="G17" s="13">
        <v>346</v>
      </c>
      <c r="H17" s="13">
        <v>153</v>
      </c>
    </row>
    <row r="18" spans="1:8" x14ac:dyDescent="0.3">
      <c r="A18" t="s">
        <v>30</v>
      </c>
      <c r="B18">
        <v>2305534</v>
      </c>
      <c r="C18" s="14" t="str">
        <f>INDEX(Product_author_data__3[All-in-one],MATCH(Sales!$B18,Product_author_data__3[Course ID],0))</f>
        <v>Melissa Straw</v>
      </c>
      <c r="D18" t="s">
        <v>26</v>
      </c>
      <c r="E18" s="13">
        <v>85414</v>
      </c>
      <c r="F18" s="13">
        <v>55519.1</v>
      </c>
      <c r="G18" s="13">
        <v>900</v>
      </c>
      <c r="H18" s="13">
        <v>929</v>
      </c>
    </row>
    <row r="19" spans="1:8" x14ac:dyDescent="0.3">
      <c r="A19" t="s">
        <v>30</v>
      </c>
      <c r="B19">
        <v>4715729</v>
      </c>
      <c r="C19" s="14" t="str">
        <f>INDEX(Product_author_data__3[All-in-one],MATCH(Sales!$B19,Product_author_data__3[Course ID],0))</f>
        <v>Liz Soomin</v>
      </c>
      <c r="D19" t="s">
        <v>27</v>
      </c>
      <c r="E19" s="13">
        <v>69140</v>
      </c>
      <c r="F19" s="13">
        <v>56694.799999999996</v>
      </c>
      <c r="G19" s="13">
        <v>961</v>
      </c>
      <c r="H19" s="13">
        <v>795</v>
      </c>
    </row>
    <row r="20" spans="1:8" x14ac:dyDescent="0.3">
      <c r="A20" t="s">
        <v>30</v>
      </c>
      <c r="B20">
        <v>1524312</v>
      </c>
      <c r="C20" s="14" t="str">
        <f>INDEX(Product_author_data__3[All-in-one],MATCH(Sales!$B20,Product_author_data__3[Course ID],0))</f>
        <v>Liz Soomin</v>
      </c>
      <c r="D20" t="s">
        <v>27</v>
      </c>
      <c r="E20" s="13">
        <v>46449</v>
      </c>
      <c r="F20" s="13">
        <v>23224.5</v>
      </c>
      <c r="G20" s="13">
        <v>655</v>
      </c>
      <c r="H20" s="13">
        <v>306</v>
      </c>
    </row>
    <row r="21" spans="1:8" x14ac:dyDescent="0.3">
      <c r="A21" t="s">
        <v>31</v>
      </c>
      <c r="B21">
        <v>2054543</v>
      </c>
      <c r="C21" s="14" t="str">
        <f>INDEX(Product_author_data__3[All-in-one],MATCH(Sales!$B21,Product_author_data__3[Course ID],0))</f>
        <v>James Grau</v>
      </c>
      <c r="D21" t="s">
        <v>27</v>
      </c>
      <c r="E21" s="13">
        <v>84814</v>
      </c>
      <c r="F21" s="13">
        <v>42407</v>
      </c>
      <c r="G21" s="13">
        <v>987</v>
      </c>
      <c r="H21" s="13">
        <v>551</v>
      </c>
    </row>
    <row r="22" spans="1:8" x14ac:dyDescent="0.3">
      <c r="A22" t="s">
        <v>31</v>
      </c>
      <c r="B22">
        <v>2834831</v>
      </c>
      <c r="C22" s="14" t="str">
        <f>INDEX(Product_author_data__3[All-in-one],MATCH(Sales!$B22,Product_author_data__3[Course ID],0))</f>
        <v>Jack Sparrow</v>
      </c>
      <c r="D22" t="s">
        <v>26</v>
      </c>
      <c r="E22" s="13">
        <v>68733</v>
      </c>
      <c r="F22" s="13">
        <v>42614.46</v>
      </c>
      <c r="G22" s="13">
        <v>1403</v>
      </c>
      <c r="H22" s="13">
        <v>1074</v>
      </c>
    </row>
    <row r="23" spans="1:8" x14ac:dyDescent="0.3">
      <c r="A23" t="s">
        <v>31</v>
      </c>
      <c r="B23">
        <v>1524437</v>
      </c>
      <c r="C23" s="14" t="str">
        <f>INDEX(Product_author_data__3[All-in-one],MATCH(Sales!$B23,Product_author_data__3[Course ID],0))</f>
        <v>James Grau</v>
      </c>
      <c r="D23" t="s">
        <v>29</v>
      </c>
      <c r="E23" s="13">
        <v>49631</v>
      </c>
      <c r="F23" s="13">
        <v>38712.18</v>
      </c>
      <c r="G23" s="13">
        <v>591</v>
      </c>
      <c r="H23" s="13">
        <v>621</v>
      </c>
    </row>
    <row r="24" spans="1:8" x14ac:dyDescent="0.3">
      <c r="A24" t="s">
        <v>31</v>
      </c>
      <c r="B24">
        <v>1164865</v>
      </c>
      <c r="C24" s="14" t="str">
        <f>INDEX(Product_author_data__3[All-in-one],MATCH(Sales!$B24,Product_author_data__3[Course ID],0))</f>
        <v>Erin Monteiro</v>
      </c>
      <c r="D24" t="s">
        <v>26</v>
      </c>
      <c r="E24" s="13">
        <v>41152</v>
      </c>
      <c r="F24" s="13">
        <v>20576</v>
      </c>
      <c r="G24" s="13">
        <v>824</v>
      </c>
      <c r="H24" s="13">
        <v>361</v>
      </c>
    </row>
    <row r="25" spans="1:8" x14ac:dyDescent="0.3">
      <c r="A25" t="s">
        <v>31</v>
      </c>
      <c r="B25">
        <v>9905461</v>
      </c>
      <c r="C25" s="14" t="str">
        <f>INDEX(Product_author_data__3[All-in-one],MATCH(Sales!$B25,Product_author_data__3[Course ID],0))</f>
        <v>Erin Monteiro</v>
      </c>
      <c r="D25" t="s">
        <v>26</v>
      </c>
      <c r="E25" s="13">
        <v>20892</v>
      </c>
      <c r="F25" s="13">
        <v>16922.52</v>
      </c>
      <c r="G25" s="13">
        <v>262</v>
      </c>
      <c r="H25" s="13">
        <v>262</v>
      </c>
    </row>
    <row r="26" spans="1:8" x14ac:dyDescent="0.3">
      <c r="A26" t="s">
        <v>31</v>
      </c>
      <c r="B26">
        <v>2955104</v>
      </c>
      <c r="C26" s="14" t="str">
        <f>INDEX(Product_author_data__3[All-in-one],MATCH(Sales!$B26,Product_author_data__3[Course ID],0))</f>
        <v>Shaun Yowie</v>
      </c>
      <c r="D26" t="s">
        <v>27</v>
      </c>
      <c r="E26" s="13">
        <v>10493</v>
      </c>
      <c r="F26" s="13">
        <v>6400.73</v>
      </c>
      <c r="G26" s="13">
        <v>420</v>
      </c>
      <c r="H26" s="13">
        <v>404</v>
      </c>
    </row>
    <row r="27" spans="1:8" x14ac:dyDescent="0.3">
      <c r="A27" t="s">
        <v>31</v>
      </c>
      <c r="B27">
        <v>2499739</v>
      </c>
      <c r="C27" s="14" t="str">
        <f>INDEX(Product_author_data__3[All-in-one],MATCH(Sales!$B27,Product_author_data__3[Course ID],0))</f>
        <v>Phil Kane</v>
      </c>
      <c r="D27" t="s">
        <v>27</v>
      </c>
      <c r="E27" s="13">
        <v>72909</v>
      </c>
      <c r="F27" s="13">
        <v>36454.5</v>
      </c>
      <c r="G27" s="13">
        <v>776</v>
      </c>
      <c r="H27" s="13">
        <v>365</v>
      </c>
    </row>
    <row r="28" spans="1:8" x14ac:dyDescent="0.3">
      <c r="A28" t="s">
        <v>32</v>
      </c>
      <c r="B28">
        <v>1891779</v>
      </c>
      <c r="C28" s="14" t="str">
        <f>INDEX(Product_author_data__3[All-in-one],MATCH(Sales!$B28,Product_author_data__3[Course ID],0))</f>
        <v>Daniel Gulady</v>
      </c>
      <c r="D28" t="s">
        <v>26</v>
      </c>
      <c r="E28" s="13">
        <v>61746</v>
      </c>
      <c r="F28" s="13">
        <v>30873</v>
      </c>
      <c r="G28" s="13">
        <v>1235</v>
      </c>
      <c r="H28" s="13">
        <v>483</v>
      </c>
    </row>
    <row r="29" spans="1:8" x14ac:dyDescent="0.3">
      <c r="A29" t="s">
        <v>32</v>
      </c>
      <c r="B29">
        <v>4352798</v>
      </c>
      <c r="C29" s="14" t="str">
        <f>INDEX(Product_author_data__3[All-in-one],MATCH(Sales!$B29,Product_author_data__3[Course ID],0))</f>
        <v>Evelyn Walters</v>
      </c>
      <c r="D29" t="s">
        <v>27</v>
      </c>
      <c r="E29" s="13">
        <v>42374</v>
      </c>
      <c r="F29" s="13">
        <v>21187</v>
      </c>
      <c r="G29" s="13">
        <v>1116</v>
      </c>
      <c r="H29" s="13">
        <v>573</v>
      </c>
    </row>
    <row r="30" spans="1:8" x14ac:dyDescent="0.3">
      <c r="A30" t="s">
        <v>32</v>
      </c>
      <c r="B30">
        <v>5231457</v>
      </c>
      <c r="C30" s="14" t="str">
        <f>INDEX(Product_author_data__3[All-in-one],MATCH(Sales!$B30,Product_author_data__3[Course ID],0))</f>
        <v>Jack Sparrow</v>
      </c>
      <c r="D30" t="s">
        <v>27</v>
      </c>
      <c r="E30" s="13">
        <v>28083</v>
      </c>
      <c r="F30" s="13">
        <v>18815.61</v>
      </c>
      <c r="G30" s="13">
        <v>433</v>
      </c>
      <c r="H30" s="13">
        <v>347</v>
      </c>
    </row>
    <row r="31" spans="1:8" x14ac:dyDescent="0.3">
      <c r="A31" t="s">
        <v>32</v>
      </c>
      <c r="B31">
        <v>7825378</v>
      </c>
      <c r="C31" s="14" t="str">
        <f>INDEX(Product_author_data__3[All-in-one],MATCH(Sales!$B31,Product_author_data__3[Course ID],0))</f>
        <v>Ana Nacho</v>
      </c>
      <c r="D31" t="s">
        <v>26</v>
      </c>
      <c r="E31" s="13">
        <v>49919</v>
      </c>
      <c r="F31" s="13">
        <v>38437.629999999997</v>
      </c>
      <c r="G31" s="13">
        <v>1086</v>
      </c>
      <c r="H31" s="13">
        <v>1135</v>
      </c>
    </row>
    <row r="32" spans="1:8" x14ac:dyDescent="0.3">
      <c r="A32" t="s">
        <v>32</v>
      </c>
      <c r="B32">
        <v>6750489</v>
      </c>
      <c r="C32" s="14" t="str">
        <f>INDEX(Product_author_data__3[All-in-one],MATCH(Sales!$B32,Product_author_data__3[Course ID],0))</f>
        <v>Shaun Yowie</v>
      </c>
      <c r="D32" t="s">
        <v>26</v>
      </c>
      <c r="E32" s="13">
        <v>96029</v>
      </c>
      <c r="F32" s="13">
        <v>86426.1</v>
      </c>
      <c r="G32" s="13">
        <v>980</v>
      </c>
      <c r="H32" s="13">
        <v>942</v>
      </c>
    </row>
    <row r="33" spans="1:8" x14ac:dyDescent="0.3">
      <c r="A33" t="s">
        <v>33</v>
      </c>
      <c r="B33">
        <v>9146503</v>
      </c>
      <c r="C33" s="14" t="str">
        <f>INDEX(Product_author_data__3[All-in-one],MATCH(Sales!$B33,Product_author_data__3[Course ID],0))</f>
        <v>Susan Loon</v>
      </c>
      <c r="D33" t="s">
        <v>27</v>
      </c>
      <c r="E33" s="13">
        <v>77477</v>
      </c>
      <c r="F33" s="13">
        <v>38738.5</v>
      </c>
      <c r="G33" s="13">
        <v>1615</v>
      </c>
      <c r="H33" s="13">
        <v>760</v>
      </c>
    </row>
    <row r="34" spans="1:8" x14ac:dyDescent="0.3">
      <c r="A34" t="s">
        <v>33</v>
      </c>
      <c r="B34">
        <v>2745927</v>
      </c>
      <c r="C34" s="14" t="str">
        <f>INDEX(Product_author_data__3[All-in-one],MATCH(Sales!$B34,Product_author_data__3[Course ID],0))</f>
        <v>Helen Bison</v>
      </c>
      <c r="D34" t="s">
        <v>26</v>
      </c>
      <c r="E34" s="13">
        <v>70848</v>
      </c>
      <c r="F34" s="13">
        <v>35424</v>
      </c>
      <c r="G34" s="13">
        <v>1363</v>
      </c>
      <c r="H34" s="13">
        <v>581</v>
      </c>
    </row>
    <row r="35" spans="1:8" x14ac:dyDescent="0.3">
      <c r="A35" t="s">
        <v>33</v>
      </c>
      <c r="B35">
        <v>2468815</v>
      </c>
      <c r="C35" s="14" t="str">
        <f>INDEX(Product_author_data__3[All-in-one],MATCH(Sales!$B35,Product_author_data__3[Course ID],0))</f>
        <v>Daniel Gulady</v>
      </c>
      <c r="D35" t="s">
        <v>27</v>
      </c>
      <c r="E35" s="13">
        <v>20913</v>
      </c>
      <c r="F35" s="13">
        <v>14639.099999999999</v>
      </c>
      <c r="G35" s="13">
        <v>411</v>
      </c>
      <c r="H35" s="13">
        <v>388</v>
      </c>
    </row>
    <row r="36" spans="1:8" x14ac:dyDescent="0.3">
      <c r="A36" t="s">
        <v>33</v>
      </c>
      <c r="B36">
        <v>1644724</v>
      </c>
      <c r="C36" s="14" t="str">
        <f>INDEX(Product_author_data__3[All-in-one],MATCH(Sales!$B36,Product_author_data__3[Course ID],0))</f>
        <v>Helen Bison</v>
      </c>
      <c r="D36" t="s">
        <v>27</v>
      </c>
      <c r="E36" s="13">
        <v>87068</v>
      </c>
      <c r="F36" s="13">
        <v>43534</v>
      </c>
      <c r="G36" s="13">
        <v>1146</v>
      </c>
      <c r="H36" s="13">
        <v>545</v>
      </c>
    </row>
    <row r="37" spans="1:8" x14ac:dyDescent="0.3">
      <c r="A37" t="s">
        <v>33</v>
      </c>
      <c r="B37">
        <v>3945458</v>
      </c>
      <c r="C37" s="14" t="str">
        <f>INDEX(Product_author_data__3[All-in-one],MATCH(Sales!$B37,Product_author_data__3[Course ID],0))</f>
        <v>Ana Nacho</v>
      </c>
      <c r="D37" t="s">
        <v>26</v>
      </c>
      <c r="E37" s="13">
        <v>75193</v>
      </c>
      <c r="F37" s="13">
        <v>54138.96</v>
      </c>
      <c r="G37" s="13">
        <v>3418</v>
      </c>
      <c r="H37" s="13">
        <v>1791</v>
      </c>
    </row>
    <row r="38" spans="1:8" x14ac:dyDescent="0.3">
      <c r="A38" t="s">
        <v>34</v>
      </c>
      <c r="B38">
        <v>8294607</v>
      </c>
      <c r="C38" s="14" t="str">
        <f>INDEX(Product_author_data__3[All-in-one],MATCH(Sales!$B38,Product_author_data__3[Course ID],0))</f>
        <v>Jenny Furlong</v>
      </c>
      <c r="D38" t="s">
        <v>27</v>
      </c>
      <c r="E38" s="13">
        <v>46828</v>
      </c>
      <c r="F38" s="13">
        <v>34652.720000000001</v>
      </c>
      <c r="G38" s="13">
        <v>756</v>
      </c>
      <c r="H38" s="13">
        <v>593</v>
      </c>
    </row>
    <row r="39" spans="1:8" x14ac:dyDescent="0.3">
      <c r="A39" t="s">
        <v>34</v>
      </c>
      <c r="B39">
        <v>4926793</v>
      </c>
      <c r="C39" s="14" t="str">
        <f>INDEX(Product_author_data__3[All-in-one],MATCH(Sales!$B39,Product_author_data__3[Course ID],0))</f>
        <v>Phil Kane</v>
      </c>
      <c r="D39" t="s">
        <v>26</v>
      </c>
      <c r="E39" s="13">
        <v>95269</v>
      </c>
      <c r="F39" s="13">
        <v>47634.5</v>
      </c>
      <c r="G39" s="13">
        <v>2887</v>
      </c>
      <c r="H39" s="13">
        <v>1059</v>
      </c>
    </row>
    <row r="40" spans="1:8" x14ac:dyDescent="0.3">
      <c r="A40" t="s">
        <v>34</v>
      </c>
      <c r="B40">
        <v>2076527</v>
      </c>
      <c r="C40" s="14" t="str">
        <f>INDEX(Product_author_data__3[All-in-one],MATCH(Sales!$B40,Product_author_data__3[Course ID],0))</f>
        <v>Jenny Furlong</v>
      </c>
      <c r="D40" t="s">
        <v>26</v>
      </c>
      <c r="E40" s="13">
        <v>72857</v>
      </c>
      <c r="F40" s="13">
        <v>65571.3</v>
      </c>
      <c r="G40" s="13">
        <v>2024</v>
      </c>
      <c r="H40" s="13">
        <v>1551</v>
      </c>
    </row>
    <row r="41" spans="1:8" x14ac:dyDescent="0.3">
      <c r="A41" t="s">
        <v>34</v>
      </c>
      <c r="B41">
        <v>3842892</v>
      </c>
      <c r="C41" s="14" t="str">
        <f>INDEX(Product_author_data__3[All-in-one],MATCH(Sales!$B41,Product_author_data__3[Course ID],0))</f>
        <v>Ana Nacho</v>
      </c>
      <c r="D41" t="s">
        <v>27</v>
      </c>
      <c r="E41" s="13">
        <v>49584</v>
      </c>
      <c r="F41" s="13">
        <v>24792</v>
      </c>
      <c r="G41" s="13">
        <v>855</v>
      </c>
      <c r="H41" s="13">
        <v>496</v>
      </c>
    </row>
    <row r="42" spans="1:8" x14ac:dyDescent="0.3">
      <c r="A42" t="s">
        <v>34</v>
      </c>
      <c r="B42">
        <v>4528783</v>
      </c>
      <c r="C42" s="14" t="str">
        <f>INDEX(Product_author_data__3[All-in-one],MATCH(Sales!$B42,Product_author_data__3[Course ID],0))</f>
        <v>Jack Sparrow</v>
      </c>
      <c r="D42" t="s">
        <v>27</v>
      </c>
      <c r="E42" s="13">
        <v>35188</v>
      </c>
      <c r="F42" s="13">
        <v>29909.8</v>
      </c>
      <c r="G42" s="13">
        <v>765</v>
      </c>
      <c r="H42" s="13">
        <v>952</v>
      </c>
    </row>
    <row r="43" spans="1:8" x14ac:dyDescent="0.3">
      <c r="A43" t="s">
        <v>34</v>
      </c>
      <c r="B43">
        <v>5284006</v>
      </c>
      <c r="C43" s="14" t="str">
        <f>INDEX(Product_author_data__3[All-in-one],MATCH(Sales!$B43,Product_author_data__3[Course ID],0))</f>
        <v>Helen Bison</v>
      </c>
      <c r="D43" t="s">
        <v>26</v>
      </c>
      <c r="E43" s="13">
        <v>82485</v>
      </c>
      <c r="F43" s="13">
        <v>41242.5</v>
      </c>
      <c r="G43" s="13">
        <v>3055</v>
      </c>
      <c r="H43" s="13">
        <v>1214</v>
      </c>
    </row>
    <row r="44" spans="1:8" x14ac:dyDescent="0.3">
      <c r="A44" t="s">
        <v>34</v>
      </c>
      <c r="B44">
        <v>9737702</v>
      </c>
      <c r="C44" s="14" t="str">
        <f>INDEX(Product_author_data__3[All-in-one],MATCH(Sales!$B44,Product_author_data__3[Course ID],0))</f>
        <v>Phil Kane</v>
      </c>
      <c r="D44" t="s">
        <v>26</v>
      </c>
      <c r="E44" s="13">
        <v>40748</v>
      </c>
      <c r="F44" s="13">
        <v>20374</v>
      </c>
      <c r="G44" s="13">
        <v>1359</v>
      </c>
      <c r="H44" s="13">
        <v>443</v>
      </c>
    </row>
    <row r="45" spans="1:8" x14ac:dyDescent="0.3">
      <c r="A45" t="s">
        <v>34</v>
      </c>
      <c r="B45">
        <v>4176029</v>
      </c>
      <c r="C45" s="14" t="str">
        <f>INDEX(Product_author_data__3[All-in-one],MATCH(Sales!$B45,Product_author_data__3[Course ID],0))</f>
        <v>Melissa Straw</v>
      </c>
      <c r="D45" t="s">
        <v>26</v>
      </c>
      <c r="E45" s="13">
        <v>37088</v>
      </c>
      <c r="F45" s="13">
        <v>18544</v>
      </c>
      <c r="G45" s="13">
        <v>3709</v>
      </c>
      <c r="H45" s="13">
        <v>1686</v>
      </c>
    </row>
    <row r="46" spans="1:8" x14ac:dyDescent="0.3">
      <c r="A46" t="s">
        <v>34</v>
      </c>
      <c r="B46">
        <v>4221926</v>
      </c>
      <c r="C46" s="14" t="str">
        <f>INDEX(Product_author_data__3[All-in-one],MATCH(Sales!$B46,Product_author_data__3[Course ID],0))</f>
        <v>Ana Nacho</v>
      </c>
      <c r="D46" t="s">
        <v>26</v>
      </c>
      <c r="E46" s="13">
        <v>32442</v>
      </c>
      <c r="F46" s="13">
        <v>24007.079999999998</v>
      </c>
      <c r="G46" s="13">
        <v>550</v>
      </c>
      <c r="H46" s="13">
        <v>422</v>
      </c>
    </row>
    <row r="47" spans="1:8" x14ac:dyDescent="0.3">
      <c r="A47" t="s">
        <v>35</v>
      </c>
      <c r="B47">
        <v>6577765</v>
      </c>
      <c r="C47" s="14" t="str">
        <f>INDEX(Product_author_data__3[All-in-one],MATCH(Sales!$B47,Product_author_data__3[Course ID],0))</f>
        <v>Unlimited Learning</v>
      </c>
      <c r="D47" t="s">
        <v>26</v>
      </c>
      <c r="E47" s="13">
        <v>77116</v>
      </c>
      <c r="F47" s="13">
        <v>59379.32</v>
      </c>
      <c r="G47" s="13">
        <v>4537</v>
      </c>
      <c r="H47" s="13">
        <v>5932</v>
      </c>
    </row>
    <row r="48" spans="1:8" x14ac:dyDescent="0.3">
      <c r="A48" t="s">
        <v>35</v>
      </c>
      <c r="B48">
        <v>4522297</v>
      </c>
      <c r="C48" s="14" t="str">
        <f>INDEX(Product_author_data__3[All-in-one],MATCH(Sales!$B48,Product_author_data__3[Course ID],0))</f>
        <v>Unlimited Learning</v>
      </c>
      <c r="D48" t="s">
        <v>29</v>
      </c>
      <c r="E48" s="13">
        <v>55097</v>
      </c>
      <c r="F48" s="13">
        <v>48485.36</v>
      </c>
      <c r="G48" s="13">
        <v>1148</v>
      </c>
      <c r="H48" s="13">
        <v>967</v>
      </c>
    </row>
    <row r="49" spans="1:8" x14ac:dyDescent="0.3">
      <c r="A49" t="s">
        <v>35</v>
      </c>
      <c r="B49">
        <v>7496517</v>
      </c>
      <c r="C49" s="14" t="str">
        <f>INDEX(Product_author_data__3[All-in-one],MATCH(Sales!$B49,Product_author_data__3[Course ID],0))</f>
        <v>Evelyn Walters</v>
      </c>
      <c r="D49" t="s">
        <v>26</v>
      </c>
      <c r="E49" s="13">
        <v>14682</v>
      </c>
      <c r="F49" s="13">
        <v>7341</v>
      </c>
      <c r="G49" s="13">
        <v>220</v>
      </c>
      <c r="H49" s="13">
        <v>105</v>
      </c>
    </row>
    <row r="50" spans="1:8" x14ac:dyDescent="0.3">
      <c r="A50" t="s">
        <v>35</v>
      </c>
      <c r="B50">
        <v>1434211</v>
      </c>
      <c r="C50" s="14" t="str">
        <f>INDEX(Product_author_data__3[All-in-one],MATCH(Sales!$B50,Product_author_data__3[Course ID],0))</f>
        <v>Angie Lee</v>
      </c>
      <c r="D50" t="s">
        <v>29</v>
      </c>
      <c r="E50" s="13">
        <v>56716</v>
      </c>
      <c r="F50" s="13">
        <v>28358</v>
      </c>
      <c r="G50" s="13">
        <v>1351</v>
      </c>
      <c r="H50" s="13">
        <v>489</v>
      </c>
    </row>
    <row r="51" spans="1:8" x14ac:dyDescent="0.3">
      <c r="A51" t="s">
        <v>35</v>
      </c>
      <c r="B51">
        <v>5921423</v>
      </c>
      <c r="C51" s="14" t="str">
        <f>INDEX(Product_author_data__3[All-in-one],MATCH(Sales!$B51,Product_author_data__3[Course ID],0))</f>
        <v>Susan Loon</v>
      </c>
      <c r="D51" t="s">
        <v>26</v>
      </c>
      <c r="E51" s="13">
        <v>67092</v>
      </c>
      <c r="F51" s="13">
        <v>50319</v>
      </c>
      <c r="G51" s="13">
        <v>685</v>
      </c>
      <c r="H51" s="13">
        <v>692</v>
      </c>
    </row>
    <row r="52" spans="1:8" x14ac:dyDescent="0.3">
      <c r="A52" t="s">
        <v>35</v>
      </c>
      <c r="B52">
        <v>2148040</v>
      </c>
      <c r="C52" s="14" t="str">
        <f>INDEX(Product_author_data__3[All-in-one],MATCH(Sales!$B52,Product_author_data__3[Course ID],0))</f>
        <v>John Silver</v>
      </c>
      <c r="D52" t="s">
        <v>27</v>
      </c>
      <c r="E52" s="13">
        <v>96703</v>
      </c>
      <c r="F52" s="13">
        <v>48351.5</v>
      </c>
      <c r="G52" s="13">
        <v>1029</v>
      </c>
      <c r="H52" s="13">
        <v>432</v>
      </c>
    </row>
    <row r="53" spans="1:8" x14ac:dyDescent="0.3">
      <c r="A53" t="s">
        <v>35</v>
      </c>
      <c r="B53">
        <v>9254176</v>
      </c>
      <c r="C53" s="14" t="str">
        <f>INDEX(Product_author_data__3[All-in-one],MATCH(Sales!$B53,Product_author_data__3[Course ID],0))</f>
        <v>Reuben Long</v>
      </c>
      <c r="D53" t="s">
        <v>26</v>
      </c>
      <c r="E53" s="13">
        <v>99346</v>
      </c>
      <c r="F53" s="13">
        <v>49673</v>
      </c>
      <c r="G53" s="13">
        <v>1308</v>
      </c>
      <c r="H53" s="13">
        <v>637</v>
      </c>
    </row>
    <row r="54" spans="1:8" x14ac:dyDescent="0.3">
      <c r="A54" t="s">
        <v>35</v>
      </c>
      <c r="B54">
        <v>9991644</v>
      </c>
      <c r="C54" s="14" t="str">
        <f>INDEX(Product_author_data__3[All-in-one],MATCH(Sales!$B54,Product_author_data__3[Course ID],0))</f>
        <v>Angie Lee</v>
      </c>
      <c r="D54" t="s">
        <v>26</v>
      </c>
      <c r="E54" s="13">
        <v>80693</v>
      </c>
      <c r="F54" s="13">
        <v>40346.5</v>
      </c>
      <c r="G54" s="13">
        <v>3363</v>
      </c>
      <c r="H54" s="13">
        <v>1302</v>
      </c>
    </row>
    <row r="55" spans="1:8" x14ac:dyDescent="0.3">
      <c r="A55" t="s">
        <v>35</v>
      </c>
      <c r="B55">
        <v>5252535</v>
      </c>
      <c r="C55" s="14" t="str">
        <f>INDEX(Product_author_data__3[All-in-one],MATCH(Sales!$B55,Product_author_data__3[Course ID],0))</f>
        <v>Andrew Lim</v>
      </c>
      <c r="D55" t="s">
        <v>29</v>
      </c>
      <c r="E55" s="13">
        <v>48569</v>
      </c>
      <c r="F55" s="13">
        <v>24284.5</v>
      </c>
      <c r="G55" s="13">
        <v>853</v>
      </c>
      <c r="H55" s="13">
        <v>442</v>
      </c>
    </row>
    <row r="56" spans="1:8" x14ac:dyDescent="0.3">
      <c r="A56" t="s">
        <v>36</v>
      </c>
      <c r="B56">
        <v>5762558</v>
      </c>
      <c r="C56" s="14" t="str">
        <f>INDEX(Product_author_data__3[All-in-one],MATCH(Sales!$B56,Product_author_data__3[Course ID],0))</f>
        <v>John Silver</v>
      </c>
      <c r="D56" t="s">
        <v>29</v>
      </c>
      <c r="E56" s="13">
        <v>31380</v>
      </c>
      <c r="F56" s="13">
        <v>28242</v>
      </c>
      <c r="G56" s="13">
        <v>2414</v>
      </c>
      <c r="H56" s="13">
        <v>1744</v>
      </c>
    </row>
    <row r="57" spans="1:8" x14ac:dyDescent="0.3">
      <c r="A57" t="s">
        <v>36</v>
      </c>
      <c r="B57">
        <v>1588788</v>
      </c>
      <c r="C57" s="14" t="str">
        <f>INDEX(Product_author_data__3[All-in-one],MATCH(Sales!$B57,Product_author_data__3[Course ID],0))</f>
        <v>Unlimited Learning</v>
      </c>
      <c r="D57" t="s">
        <v>27</v>
      </c>
      <c r="E57" s="13">
        <v>31930</v>
      </c>
      <c r="F57" s="13">
        <v>15965</v>
      </c>
      <c r="G57" s="13">
        <v>1065</v>
      </c>
      <c r="H57" s="13">
        <v>799</v>
      </c>
    </row>
    <row r="58" spans="1:8" x14ac:dyDescent="0.3">
      <c r="A58" t="s">
        <v>36</v>
      </c>
      <c r="B58">
        <v>3513886</v>
      </c>
      <c r="C58" s="14" t="str">
        <f>INDEX(Product_author_data__3[All-in-one],MATCH(Sales!$B58,Product_author_data__3[Course ID],0))</f>
        <v>Reuben Long</v>
      </c>
      <c r="D58" t="s">
        <v>27</v>
      </c>
      <c r="E58" s="13">
        <v>37609</v>
      </c>
      <c r="F58" s="13">
        <v>27830.66</v>
      </c>
      <c r="G58" s="13">
        <v>965</v>
      </c>
      <c r="H58" s="13">
        <v>1297</v>
      </c>
    </row>
    <row r="59" spans="1:8" x14ac:dyDescent="0.3">
      <c r="A59" t="s">
        <v>36</v>
      </c>
      <c r="B59">
        <v>7866436</v>
      </c>
      <c r="C59" s="14" t="str">
        <f>INDEX(Product_author_data__3[All-in-one],MATCH(Sales!$B59,Product_author_data__3[Course ID],0))</f>
        <v>Andrew Lim</v>
      </c>
      <c r="D59" t="s">
        <v>29</v>
      </c>
      <c r="E59" s="13">
        <v>73914</v>
      </c>
      <c r="F59" s="13">
        <v>59870.340000000004</v>
      </c>
      <c r="G59" s="13">
        <v>6720</v>
      </c>
      <c r="H59" s="13">
        <v>24638</v>
      </c>
    </row>
    <row r="60" spans="1:8" x14ac:dyDescent="0.3">
      <c r="A60" t="s">
        <v>36</v>
      </c>
      <c r="B60">
        <v>6817518</v>
      </c>
      <c r="C60" s="14" t="str">
        <f>INDEX(Product_author_data__3[All-in-one],MATCH(Sales!$B60,Product_author_data__3[Course ID],0))</f>
        <v>Unlimited Learning</v>
      </c>
      <c r="D60" t="s">
        <v>27</v>
      </c>
      <c r="E60" s="13">
        <v>93944</v>
      </c>
      <c r="F60" s="13">
        <v>46972</v>
      </c>
      <c r="G60" s="13">
        <v>2136</v>
      </c>
      <c r="H60" s="13">
        <v>1175</v>
      </c>
    </row>
    <row r="61" spans="1:8" x14ac:dyDescent="0.3">
      <c r="A61" t="s">
        <v>36</v>
      </c>
      <c r="B61">
        <v>4471864</v>
      </c>
      <c r="C61" s="14" t="str">
        <f>INDEX(Product_author_data__3[All-in-one],MATCH(Sales!$B61,Product_author_data__3[Course ID],0))</f>
        <v>Ana Nacho</v>
      </c>
      <c r="D61" t="s">
        <v>26</v>
      </c>
      <c r="E61" s="13">
        <v>64612</v>
      </c>
      <c r="F61" s="13">
        <v>32306</v>
      </c>
      <c r="G61" s="13">
        <v>4308</v>
      </c>
      <c r="H61" s="13">
        <v>979</v>
      </c>
    </row>
    <row r="62" spans="1:8" x14ac:dyDescent="0.3">
      <c r="A62" t="s">
        <v>36</v>
      </c>
      <c r="B62">
        <v>4919131</v>
      </c>
      <c r="C62" s="14" t="str">
        <f>INDEX(Product_author_data__3[All-in-one],MATCH(Sales!$B62,Product_author_data__3[Course ID],0))</f>
        <v>Liz Soomin</v>
      </c>
      <c r="D62" t="s">
        <v>29</v>
      </c>
      <c r="E62" s="13">
        <v>12714</v>
      </c>
      <c r="F62" s="13">
        <v>6357</v>
      </c>
      <c r="G62" s="13">
        <v>232</v>
      </c>
      <c r="H62" s="13">
        <v>136</v>
      </c>
    </row>
    <row r="63" spans="1:8" x14ac:dyDescent="0.3">
      <c r="A63" t="s">
        <v>36</v>
      </c>
      <c r="B63">
        <v>5902543</v>
      </c>
      <c r="C63" s="14" t="str">
        <f>INDEX(Product_author_data__3[All-in-one],MATCH(Sales!$B63,Product_author_data__3[Course ID],0))</f>
        <v>Phil Kane</v>
      </c>
      <c r="D63" t="s">
        <v>26</v>
      </c>
      <c r="E63" s="13">
        <v>56974</v>
      </c>
      <c r="F63" s="13">
        <v>48997.64</v>
      </c>
      <c r="G63" s="13">
        <v>1676</v>
      </c>
      <c r="H63" s="13">
        <v>1628</v>
      </c>
    </row>
    <row r="64" spans="1:8" x14ac:dyDescent="0.3">
      <c r="A64" t="s">
        <v>36</v>
      </c>
      <c r="B64">
        <v>6065623</v>
      </c>
      <c r="C64" s="14" t="str">
        <f>INDEX(Product_author_data__3[All-in-one],MATCH(Sales!$B64,Product_author_data__3[Course ID],0))</f>
        <v>Susan Loon</v>
      </c>
      <c r="D64" t="s">
        <v>27</v>
      </c>
      <c r="E64" s="13">
        <v>28708</v>
      </c>
      <c r="F64" s="13">
        <v>14354</v>
      </c>
      <c r="G64" s="13">
        <v>1305</v>
      </c>
      <c r="H64" s="13">
        <v>399</v>
      </c>
    </row>
    <row r="65" spans="1:8" x14ac:dyDescent="0.3">
      <c r="A65" t="s">
        <v>36</v>
      </c>
      <c r="B65">
        <v>8656751</v>
      </c>
      <c r="C65" s="14" t="str">
        <f>INDEX(Product_author_data__3[All-in-one],MATCH(Sales!$B65,Product_author_data__3[Course ID],0))</f>
        <v>Michael Jones</v>
      </c>
      <c r="D65" t="s">
        <v>26</v>
      </c>
      <c r="E65" s="13">
        <v>31616</v>
      </c>
      <c r="F65" s="13">
        <v>15808</v>
      </c>
      <c r="G65" s="13">
        <v>959</v>
      </c>
      <c r="H65" s="13">
        <v>360</v>
      </c>
    </row>
    <row r="66" spans="1:8" x14ac:dyDescent="0.3">
      <c r="A66" t="s">
        <v>36</v>
      </c>
      <c r="B66">
        <v>4639301</v>
      </c>
      <c r="C66" s="14" t="str">
        <f>INDEX(Product_author_data__3[All-in-one],MATCH(Sales!$B66,Product_author_data__3[Course ID],0))</f>
        <v>Andrew Fox</v>
      </c>
      <c r="D66" t="s">
        <v>26</v>
      </c>
      <c r="E66" s="13">
        <v>53685</v>
      </c>
      <c r="F66" s="13">
        <v>33821.550000000003</v>
      </c>
      <c r="G66" s="13">
        <v>1918</v>
      </c>
      <c r="H66" s="13">
        <v>2557</v>
      </c>
    </row>
    <row r="67" spans="1:8" x14ac:dyDescent="0.3">
      <c r="A67" t="s">
        <v>36</v>
      </c>
      <c r="B67">
        <v>6341724</v>
      </c>
      <c r="C67" s="14" t="str">
        <f>INDEX(Product_author_data__3[All-in-one],MATCH(Sales!$B67,Product_author_data__3[Course ID],0))</f>
        <v>Helen Bison</v>
      </c>
      <c r="D67" t="s">
        <v>27</v>
      </c>
      <c r="E67" s="13">
        <v>23401</v>
      </c>
      <c r="F67" s="13">
        <v>11700.5</v>
      </c>
      <c r="G67" s="13">
        <v>571</v>
      </c>
      <c r="H67" s="13">
        <v>355</v>
      </c>
    </row>
    <row r="68" spans="1:8" x14ac:dyDescent="0.3">
      <c r="A68" t="s">
        <v>36</v>
      </c>
      <c r="B68">
        <v>2299246</v>
      </c>
      <c r="C68" s="14" t="str">
        <f>INDEX(Product_author_data__3[All-in-one],MATCH(Sales!$B68,Product_author_data__3[Course ID],0))</f>
        <v>Shaun Yowie</v>
      </c>
      <c r="D68" t="s">
        <v>27</v>
      </c>
      <c r="E68" s="13">
        <v>98538</v>
      </c>
      <c r="F68" s="13">
        <v>67991.22</v>
      </c>
      <c r="G68" s="13">
        <v>1408</v>
      </c>
      <c r="H68" s="13">
        <v>1264</v>
      </c>
    </row>
    <row r="69" spans="1:8" x14ac:dyDescent="0.3">
      <c r="A69" t="s">
        <v>37</v>
      </c>
      <c r="B69">
        <v>8070596</v>
      </c>
      <c r="C69" s="14" t="str">
        <f>INDEX(Product_author_data__3[All-in-one],MATCH(Sales!$B69,Product_author_data__3[Course ID],0))</f>
        <v>Evelyn Walters</v>
      </c>
      <c r="D69" t="s">
        <v>29</v>
      </c>
      <c r="E69" s="13">
        <v>97101</v>
      </c>
      <c r="F69" s="13">
        <v>48550.5</v>
      </c>
      <c r="G69" s="13">
        <v>8092</v>
      </c>
      <c r="H69" s="13">
        <v>1943</v>
      </c>
    </row>
    <row r="70" spans="1:8" x14ac:dyDescent="0.3">
      <c r="A70" t="s">
        <v>37</v>
      </c>
      <c r="B70">
        <v>6048604</v>
      </c>
      <c r="C70" s="14" t="str">
        <f>INDEX(Product_author_data__3[All-in-one],MATCH(Sales!$B70,Product_author_data__3[Course ID],0))</f>
        <v>James Grau</v>
      </c>
      <c r="D70" t="s">
        <v>26</v>
      </c>
      <c r="E70" s="13">
        <v>56003</v>
      </c>
      <c r="F70" s="13">
        <v>28001.5</v>
      </c>
      <c r="G70" s="13">
        <v>1807</v>
      </c>
      <c r="H70" s="13">
        <v>1334</v>
      </c>
    </row>
    <row r="71" spans="1:8" x14ac:dyDescent="0.3">
      <c r="A71" t="s">
        <v>37</v>
      </c>
      <c r="B71">
        <v>7311693</v>
      </c>
      <c r="C71" s="14" t="str">
        <f>INDEX(Product_author_data__3[All-in-one],MATCH(Sales!$B71,Product_author_data__3[Course ID],0))</f>
        <v>John Silver</v>
      </c>
      <c r="D71" t="s">
        <v>26</v>
      </c>
      <c r="E71" s="13">
        <v>79431</v>
      </c>
      <c r="F71" s="13">
        <v>50835.840000000004</v>
      </c>
      <c r="G71" s="13">
        <v>837</v>
      </c>
      <c r="H71" s="13">
        <v>703</v>
      </c>
    </row>
    <row r="72" spans="1:8" x14ac:dyDescent="0.3">
      <c r="A72" t="s">
        <v>37</v>
      </c>
      <c r="B72">
        <v>3359114</v>
      </c>
      <c r="C72" s="14" t="str">
        <f>INDEX(Product_author_data__3[All-in-one],MATCH(Sales!$B72,Product_author_data__3[Course ID],0))</f>
        <v>Unlimited Learning</v>
      </c>
      <c r="D72" t="s">
        <v>27</v>
      </c>
      <c r="E72" s="13">
        <v>13528</v>
      </c>
      <c r="F72" s="13">
        <v>6764</v>
      </c>
      <c r="G72" s="13">
        <v>410</v>
      </c>
      <c r="H72" s="13">
        <v>188</v>
      </c>
    </row>
    <row r="73" spans="1:8" x14ac:dyDescent="0.3">
      <c r="A73" t="s">
        <v>37</v>
      </c>
      <c r="B73">
        <v>3230819</v>
      </c>
      <c r="C73" s="14" t="str">
        <f>INDEX(Product_author_data__3[All-in-one],MATCH(Sales!$B73,Product_author_data__3[Course ID],0))</f>
        <v>Liz Soomin</v>
      </c>
      <c r="D73" t="s">
        <v>27</v>
      </c>
      <c r="E73" s="13">
        <v>98991</v>
      </c>
      <c r="F73" s="13">
        <v>88101.99</v>
      </c>
      <c r="G73" s="13">
        <v>1941</v>
      </c>
      <c r="H73" s="13">
        <v>1623</v>
      </c>
    </row>
    <row r="74" spans="1:8" x14ac:dyDescent="0.3">
      <c r="A74" t="s">
        <v>38</v>
      </c>
      <c r="B74">
        <v>7939032</v>
      </c>
      <c r="C74" s="14" t="str">
        <f>INDEX(Product_author_data__3[All-in-one],MATCH(Sales!$B74,Product_author_data__3[Course ID],0))</f>
        <v>Daniel Gulady</v>
      </c>
      <c r="D74" t="s">
        <v>27</v>
      </c>
      <c r="E74" s="13">
        <v>77578</v>
      </c>
      <c r="F74" s="13">
        <v>56321.628000000012</v>
      </c>
      <c r="G74" s="13">
        <v>784</v>
      </c>
      <c r="H74" s="13">
        <v>809</v>
      </c>
    </row>
    <row r="75" spans="1:8" x14ac:dyDescent="0.3">
      <c r="A75" t="s">
        <v>38</v>
      </c>
      <c r="B75">
        <v>1573850</v>
      </c>
      <c r="C75" s="14" t="str">
        <f>INDEX(Product_author_data__3[All-in-one],MATCH(Sales!$B75,Product_author_data__3[Course ID],0))</f>
        <v>Angie Lee</v>
      </c>
      <c r="D75" t="s">
        <v>26</v>
      </c>
      <c r="E75" s="13">
        <v>76898.399999999994</v>
      </c>
      <c r="F75" s="13">
        <v>42294.12</v>
      </c>
      <c r="G75" s="13">
        <v>884.4</v>
      </c>
      <c r="H75" s="13">
        <v>493.2</v>
      </c>
    </row>
    <row r="76" spans="1:8" x14ac:dyDescent="0.3">
      <c r="A76" t="s">
        <v>38</v>
      </c>
      <c r="B76">
        <v>2845488</v>
      </c>
      <c r="C76" s="14" t="str">
        <f>INDEX(Product_author_data__3[All-in-one],MATCH(Sales!$B76,Product_author_data__3[Course ID],0))</f>
        <v>John Silver</v>
      </c>
      <c r="D76" t="s">
        <v>29</v>
      </c>
      <c r="E76" s="13">
        <v>72117</v>
      </c>
      <c r="F76" s="13">
        <v>39664.350000000006</v>
      </c>
      <c r="G76" s="13">
        <v>1093</v>
      </c>
      <c r="H76" s="13">
        <v>469</v>
      </c>
    </row>
    <row r="77" spans="1:8" x14ac:dyDescent="0.3">
      <c r="A77" t="s">
        <v>38</v>
      </c>
      <c r="B77">
        <v>6131596</v>
      </c>
      <c r="C77" s="14" t="str">
        <f>INDEX(Product_author_data__3[All-in-one],MATCH(Sales!$B77,Product_author_data__3[Course ID],0))</f>
        <v>Helen Bison</v>
      </c>
      <c r="D77" t="s">
        <v>27</v>
      </c>
      <c r="E77" s="13">
        <v>73899</v>
      </c>
      <c r="F77" s="13">
        <v>59340.897000000004</v>
      </c>
      <c r="G77" s="13">
        <v>1212</v>
      </c>
      <c r="H77" s="13">
        <v>1192</v>
      </c>
    </row>
    <row r="78" spans="1:8" x14ac:dyDescent="0.3">
      <c r="A78" t="s">
        <v>38</v>
      </c>
      <c r="B78">
        <v>6518090</v>
      </c>
      <c r="C78" s="14" t="str">
        <f>INDEX(Product_author_data__3[All-in-one],MATCH(Sales!$B78,Product_author_data__3[Course ID],0))</f>
        <v>Erin Monteiro</v>
      </c>
      <c r="D78" t="s">
        <v>29</v>
      </c>
      <c r="E78" s="13">
        <v>30532.14</v>
      </c>
      <c r="F78" s="13">
        <v>29555.111519999999</v>
      </c>
      <c r="G78" s="13">
        <v>336.15000000000003</v>
      </c>
      <c r="H78" s="13">
        <v>315.09000000000003</v>
      </c>
    </row>
    <row r="79" spans="1:8" x14ac:dyDescent="0.3">
      <c r="A79" t="s">
        <v>38</v>
      </c>
      <c r="B79">
        <v>4686726</v>
      </c>
      <c r="C79" s="14" t="str">
        <f>INDEX(Product_author_data__3[All-in-one],MATCH(Sales!$B79,Product_author_data__3[Course ID],0))</f>
        <v>Ana Nacho</v>
      </c>
      <c r="D79" t="s">
        <v>29</v>
      </c>
      <c r="E79" s="13">
        <v>47628.810000000005</v>
      </c>
      <c r="F79" s="13">
        <v>26195.845500000003</v>
      </c>
      <c r="G79" s="13">
        <v>2977.56</v>
      </c>
      <c r="H79" s="13">
        <v>2165.13</v>
      </c>
    </row>
    <row r="80" spans="1:8" x14ac:dyDescent="0.3">
      <c r="A80" t="s">
        <v>38</v>
      </c>
      <c r="B80">
        <v>4880623</v>
      </c>
      <c r="C80" s="14" t="str">
        <f>INDEX(Product_author_data__3[All-in-one],MATCH(Sales!$B80,Product_author_data__3[Course ID],0))</f>
        <v>Erin Monteiro</v>
      </c>
      <c r="D80" t="s">
        <v>29</v>
      </c>
      <c r="E80" s="13">
        <v>80188.38</v>
      </c>
      <c r="F80" s="13">
        <v>60862.980420000007</v>
      </c>
      <c r="G80" s="13">
        <v>844.83</v>
      </c>
      <c r="H80" s="13">
        <v>853.74</v>
      </c>
    </row>
    <row r="81" spans="1:8" x14ac:dyDescent="0.3">
      <c r="A81" t="s">
        <v>38</v>
      </c>
      <c r="B81">
        <v>4621820</v>
      </c>
      <c r="C81" s="14" t="str">
        <f>INDEX(Product_author_data__3[All-in-one],MATCH(Sales!$B81,Product_author_data__3[Course ID],0))</f>
        <v>Andrew Lim</v>
      </c>
      <c r="D81" t="s">
        <v>27</v>
      </c>
      <c r="E81" s="13">
        <v>66606.3</v>
      </c>
      <c r="F81" s="13">
        <v>53484.858900000007</v>
      </c>
      <c r="G81" s="13">
        <v>1092.69</v>
      </c>
      <c r="H81" s="13">
        <v>854.55000000000007</v>
      </c>
    </row>
    <row r="82" spans="1:8" x14ac:dyDescent="0.3">
      <c r="A82" t="s">
        <v>38</v>
      </c>
      <c r="B82">
        <v>9241013</v>
      </c>
      <c r="C82" s="14" t="str">
        <f>INDEX(Product_author_data__3[All-in-one],MATCH(Sales!$B82,Product_author_data__3[Course ID],0))</f>
        <v>James Grau</v>
      </c>
      <c r="D82" t="s">
        <v>26</v>
      </c>
      <c r="E82" s="13">
        <v>49627.8</v>
      </c>
      <c r="F82" s="13">
        <v>40942.935000000005</v>
      </c>
      <c r="G82" s="13">
        <v>545.4</v>
      </c>
      <c r="H82" s="13">
        <v>473.40000000000003</v>
      </c>
    </row>
    <row r="83" spans="1:8" x14ac:dyDescent="0.3">
      <c r="A83" t="s">
        <v>38</v>
      </c>
      <c r="B83">
        <v>8230639</v>
      </c>
      <c r="C83" s="14" t="str">
        <f>INDEX(Product_author_data__3[All-in-one],MATCH(Sales!$B83,Product_author_data__3[Course ID],0))</f>
        <v>Shaun Yowie</v>
      </c>
      <c r="D83" t="s">
        <v>26</v>
      </c>
      <c r="E83" s="13">
        <v>60542.1</v>
      </c>
      <c r="F83" s="13">
        <v>47283.380100000002</v>
      </c>
      <c r="G83" s="13">
        <v>2088</v>
      </c>
      <c r="H83" s="13">
        <v>2018.7</v>
      </c>
    </row>
    <row r="84" spans="1:8" x14ac:dyDescent="0.3">
      <c r="A84" t="s">
        <v>38</v>
      </c>
      <c r="B84">
        <v>8005321</v>
      </c>
      <c r="C84" s="14" t="str">
        <f>INDEX(Product_author_data__3[All-in-one],MATCH(Sales!$B84,Product_author_data__3[Course ID],0))</f>
        <v>Ana Nacho</v>
      </c>
      <c r="D84" t="s">
        <v>26</v>
      </c>
      <c r="E84" s="13">
        <v>66606.3</v>
      </c>
      <c r="F84" s="13">
        <v>54217.528200000008</v>
      </c>
      <c r="G84" s="13">
        <v>1092.69</v>
      </c>
      <c r="H84" s="13">
        <v>854.55000000000007</v>
      </c>
    </row>
    <row r="85" spans="1:8" x14ac:dyDescent="0.3">
      <c r="A85" t="s">
        <v>39</v>
      </c>
      <c r="B85">
        <v>9924389</v>
      </c>
      <c r="C85" s="14" t="str">
        <f>INDEX(Product_author_data__3[All-in-one],MATCH(Sales!$B85,Product_author_data__3[Course ID],0))</f>
        <v>Shaun Yowie</v>
      </c>
      <c r="D85" t="s">
        <v>26</v>
      </c>
      <c r="E85" s="13">
        <v>69162</v>
      </c>
      <c r="F85" s="13">
        <v>38039.100000000006</v>
      </c>
      <c r="G85" s="13">
        <v>2767</v>
      </c>
      <c r="H85" s="13">
        <v>824</v>
      </c>
    </row>
    <row r="86" spans="1:8" x14ac:dyDescent="0.3">
      <c r="A86" t="s">
        <v>39</v>
      </c>
      <c r="B86">
        <v>9610090</v>
      </c>
      <c r="C86" s="14" t="str">
        <f>INDEX(Product_author_data__3[All-in-one],MATCH(Sales!$B86,Product_author_data__3[Course ID],0))</f>
        <v>Ana Nacho</v>
      </c>
      <c r="D86" t="s">
        <v>27</v>
      </c>
      <c r="E86" s="13">
        <v>24928</v>
      </c>
      <c r="F86" s="13">
        <v>16452.48</v>
      </c>
      <c r="G86" s="13">
        <v>2267</v>
      </c>
      <c r="H86" s="13">
        <v>2078</v>
      </c>
    </row>
    <row r="87" spans="1:8" x14ac:dyDescent="0.3">
      <c r="A87" t="s">
        <v>39</v>
      </c>
      <c r="B87">
        <v>9728373</v>
      </c>
      <c r="C87" s="14" t="str">
        <f>INDEX(Product_author_data__3[All-in-one],MATCH(Sales!$B87,Product_author_data__3[Course ID],0))</f>
        <v>Andrew Lim</v>
      </c>
      <c r="D87" t="s">
        <v>29</v>
      </c>
      <c r="E87" s="13">
        <v>99124</v>
      </c>
      <c r="F87" s="13">
        <v>78506.207999999999</v>
      </c>
      <c r="G87" s="13">
        <v>1710</v>
      </c>
      <c r="H87" s="13">
        <v>1437</v>
      </c>
    </row>
    <row r="88" spans="1:8" x14ac:dyDescent="0.3">
      <c r="A88" t="s">
        <v>39</v>
      </c>
      <c r="B88">
        <v>6772883</v>
      </c>
      <c r="C88" s="14" t="str">
        <f>INDEX(Product_author_data__3[All-in-one],MATCH(Sales!$B88,Product_author_data__3[Course ID],0))</f>
        <v>Jack Sparrow</v>
      </c>
      <c r="D88" t="s">
        <v>26</v>
      </c>
      <c r="E88" s="13">
        <v>106008</v>
      </c>
      <c r="F88" s="13">
        <v>99117.48000000001</v>
      </c>
      <c r="G88" s="13">
        <v>1537.2</v>
      </c>
      <c r="H88" s="13">
        <v>1359.6</v>
      </c>
    </row>
    <row r="89" spans="1:8" x14ac:dyDescent="0.3">
      <c r="A89" t="s">
        <v>39</v>
      </c>
      <c r="B89">
        <v>6253563</v>
      </c>
      <c r="C89" s="14" t="str">
        <f>INDEX(Product_author_data__3[All-in-one],MATCH(Sales!$B89,Product_author_data__3[Course ID],0))</f>
        <v>Unlimited Learning</v>
      </c>
      <c r="D89" t="s">
        <v>27</v>
      </c>
      <c r="E89" s="13">
        <v>65428</v>
      </c>
      <c r="F89" s="13">
        <v>35985.4</v>
      </c>
      <c r="G89" s="13">
        <v>1870</v>
      </c>
      <c r="H89" s="13">
        <v>861</v>
      </c>
    </row>
    <row r="90" spans="1:8" x14ac:dyDescent="0.3">
      <c r="A90" t="s">
        <v>39</v>
      </c>
      <c r="B90">
        <v>7007180</v>
      </c>
      <c r="C90" s="14" t="str">
        <f>INDEX(Product_author_data__3[All-in-one],MATCH(Sales!$B90,Product_author_data__3[Course ID],0))</f>
        <v>Ana Nacho</v>
      </c>
      <c r="D90" t="s">
        <v>26</v>
      </c>
      <c r="E90" s="13">
        <v>17278</v>
      </c>
      <c r="F90" s="13">
        <v>12923.944000000001</v>
      </c>
      <c r="G90" s="13">
        <v>540</v>
      </c>
      <c r="H90" s="13">
        <v>720</v>
      </c>
    </row>
    <row r="91" spans="1:8" x14ac:dyDescent="0.3">
      <c r="A91" t="s">
        <v>39</v>
      </c>
      <c r="B91">
        <v>7995308</v>
      </c>
      <c r="C91" s="14" t="str">
        <f>INDEX(Product_author_data__3[All-in-one],MATCH(Sales!$B91,Product_author_data__3[Course ID],0))</f>
        <v>Evelyn Walters</v>
      </c>
      <c r="D91" t="s">
        <v>27</v>
      </c>
      <c r="E91" s="13">
        <v>19961</v>
      </c>
      <c r="F91" s="13">
        <v>16467.825000000001</v>
      </c>
      <c r="G91" s="13">
        <v>345</v>
      </c>
      <c r="H91" s="13">
        <v>256</v>
      </c>
    </row>
    <row r="92" spans="1:8" x14ac:dyDescent="0.3">
      <c r="A92" t="s">
        <v>39</v>
      </c>
      <c r="B92">
        <v>7938105</v>
      </c>
      <c r="C92" s="14" t="str">
        <f>INDEX(Product_author_data__3[All-in-one],MATCH(Sales!$B92,Product_author_data__3[Course ID],0))</f>
        <v>Andrew Lim</v>
      </c>
      <c r="D92" t="s">
        <v>29</v>
      </c>
      <c r="E92" s="13">
        <v>84447</v>
      </c>
      <c r="F92" s="13">
        <v>64095.273000000001</v>
      </c>
      <c r="G92" s="13">
        <v>1877</v>
      </c>
      <c r="H92" s="13">
        <v>2223</v>
      </c>
    </row>
    <row r="93" spans="1:8" x14ac:dyDescent="0.3">
      <c r="A93" t="s">
        <v>39</v>
      </c>
      <c r="B93">
        <v>7525972</v>
      </c>
      <c r="C93" s="14" t="str">
        <f>INDEX(Product_author_data__3[All-in-one],MATCH(Sales!$B93,Product_author_data__3[Course ID],0))</f>
        <v>James Grau</v>
      </c>
      <c r="D93" t="s">
        <v>29</v>
      </c>
      <c r="E93" s="13">
        <v>82332</v>
      </c>
      <c r="F93" s="13">
        <v>63395.64</v>
      </c>
      <c r="G93" s="13">
        <v>2009</v>
      </c>
      <c r="H93" s="13">
        <v>1497</v>
      </c>
    </row>
    <row r="94" spans="1:8" x14ac:dyDescent="0.3">
      <c r="A94" t="s">
        <v>40</v>
      </c>
      <c r="B94">
        <v>2164842</v>
      </c>
      <c r="C94" s="14" t="str">
        <f>INDEX(Product_author_data__3[All-in-one],MATCH(Sales!$B94,Product_author_data__3[Course ID],0))</f>
        <v>Andrew Fox</v>
      </c>
      <c r="D94" t="s">
        <v>29</v>
      </c>
      <c r="E94" s="13">
        <v>91213</v>
      </c>
      <c r="F94" s="13">
        <v>50167.15</v>
      </c>
      <c r="G94" s="13">
        <v>1201</v>
      </c>
      <c r="H94" s="13">
        <v>617</v>
      </c>
    </row>
    <row r="95" spans="1:8" x14ac:dyDescent="0.3">
      <c r="A95" t="s">
        <v>40</v>
      </c>
      <c r="B95">
        <v>4179616</v>
      </c>
      <c r="C95" s="14" t="str">
        <f>INDEX(Product_author_data__3[All-in-one],MATCH(Sales!$B95,Product_author_data__3[Course ID],0))</f>
        <v>Melissa Straw</v>
      </c>
      <c r="D95" t="s">
        <v>26</v>
      </c>
      <c r="E95" s="13">
        <v>63873</v>
      </c>
      <c r="F95" s="13">
        <v>49884.812999999995</v>
      </c>
      <c r="G95" s="13">
        <v>1141</v>
      </c>
      <c r="H95" s="13">
        <v>875</v>
      </c>
    </row>
    <row r="96" spans="1:8" x14ac:dyDescent="0.3">
      <c r="A96" t="s">
        <v>40</v>
      </c>
      <c r="B96">
        <v>8352729</v>
      </c>
      <c r="C96" s="14" t="str">
        <f>INDEX(Product_author_data__3[All-in-one],MATCH(Sales!$B96,Product_author_data__3[Course ID],0))</f>
        <v>Reuben Long</v>
      </c>
      <c r="D96" t="s">
        <v>27</v>
      </c>
      <c r="E96" s="13">
        <v>73699.5</v>
      </c>
      <c r="F96" s="13">
        <v>70530.421500000011</v>
      </c>
      <c r="G96" s="13">
        <v>899.25</v>
      </c>
      <c r="H96" s="13">
        <v>819</v>
      </c>
    </row>
    <row r="97" spans="1:8" x14ac:dyDescent="0.3">
      <c r="A97" t="s">
        <v>40</v>
      </c>
      <c r="B97">
        <v>1674914</v>
      </c>
      <c r="C97" s="14" t="str">
        <f>INDEX(Product_author_data__3[All-in-one],MATCH(Sales!$B97,Product_author_data__3[Course ID],0))</f>
        <v>Shaun Yowie</v>
      </c>
      <c r="D97" t="s">
        <v>29</v>
      </c>
      <c r="E97" s="13">
        <v>21852</v>
      </c>
      <c r="F97" s="13">
        <v>12018.6</v>
      </c>
      <c r="G97" s="13">
        <v>429</v>
      </c>
      <c r="H97" s="13">
        <v>249</v>
      </c>
    </row>
    <row r="98" spans="1:8" x14ac:dyDescent="0.3">
      <c r="A98" t="s">
        <v>40</v>
      </c>
      <c r="B98">
        <v>9285676</v>
      </c>
      <c r="C98" s="14" t="str">
        <f>INDEX(Product_author_data__3[All-in-one],MATCH(Sales!$B98,Product_author_data__3[Course ID],0))</f>
        <v>Unlimited Learning</v>
      </c>
      <c r="D98" t="s">
        <v>27</v>
      </c>
      <c r="E98" s="13">
        <v>67418</v>
      </c>
      <c r="F98" s="13">
        <v>37079.9</v>
      </c>
      <c r="G98" s="13">
        <v>3371</v>
      </c>
      <c r="H98" s="13">
        <v>1983</v>
      </c>
    </row>
    <row r="99" spans="1:8" x14ac:dyDescent="0.3">
      <c r="A99" t="s">
        <v>40</v>
      </c>
      <c r="B99">
        <v>2034203</v>
      </c>
      <c r="C99" s="14" t="str">
        <f>INDEX(Product_author_data__3[All-in-one],MATCH(Sales!$B99,Product_author_data__3[Course ID],0))</f>
        <v>Reuben Long</v>
      </c>
      <c r="D99" t="s">
        <v>29</v>
      </c>
      <c r="E99" s="13">
        <v>26123.25</v>
      </c>
      <c r="F99" s="13">
        <v>31680.000000000004</v>
      </c>
      <c r="G99" s="13">
        <v>294</v>
      </c>
      <c r="H99" s="13">
        <v>147</v>
      </c>
    </row>
    <row r="100" spans="1:8" x14ac:dyDescent="0.3">
      <c r="A100" t="s">
        <v>40</v>
      </c>
      <c r="B100">
        <v>4799948</v>
      </c>
      <c r="C100" s="14" t="str">
        <f>INDEX(Product_author_data__3[All-in-one],MATCH(Sales!$B100,Product_author_data__3[Course ID],0))</f>
        <v>Jenny Furlong</v>
      </c>
      <c r="D100" t="s">
        <v>29</v>
      </c>
      <c r="E100" s="13">
        <v>46634</v>
      </c>
      <c r="F100" s="13">
        <v>34882.232000000004</v>
      </c>
      <c r="G100" s="13">
        <v>486</v>
      </c>
      <c r="H100" s="13">
        <v>530</v>
      </c>
    </row>
    <row r="101" spans="1:8" x14ac:dyDescent="0.3">
      <c r="A101" t="s">
        <v>40</v>
      </c>
      <c r="B101">
        <v>6647244</v>
      </c>
      <c r="C101" s="14" t="str">
        <f>INDEX(Product_author_data__3[All-in-one],MATCH(Sales!$B101,Product_author_data__3[Course ID],0))</f>
        <v>Helen Bison</v>
      </c>
      <c r="D101" t="s">
        <v>26</v>
      </c>
      <c r="E101" s="13">
        <v>42329</v>
      </c>
      <c r="F101" s="13">
        <v>23280.95</v>
      </c>
      <c r="G101" s="13">
        <v>605</v>
      </c>
      <c r="H101" s="13">
        <v>272</v>
      </c>
    </row>
    <row r="102" spans="1:8" x14ac:dyDescent="0.3">
      <c r="A102" t="s">
        <v>40</v>
      </c>
      <c r="B102">
        <v>4686388</v>
      </c>
      <c r="C102" s="14" t="str">
        <f>INDEX(Product_author_data__3[All-in-one],MATCH(Sales!$B102,Product_author_data__3[Course ID],0))</f>
        <v>James Grau</v>
      </c>
      <c r="D102" t="s">
        <v>27</v>
      </c>
      <c r="E102" s="13">
        <v>65851</v>
      </c>
      <c r="F102" s="13">
        <v>55051.436000000009</v>
      </c>
      <c r="G102" s="13">
        <v>709</v>
      </c>
      <c r="H102" s="13">
        <v>709</v>
      </c>
    </row>
    <row r="103" spans="1:8" x14ac:dyDescent="0.3">
      <c r="A103" t="s">
        <v>40</v>
      </c>
      <c r="B103">
        <v>7813421</v>
      </c>
      <c r="C103" s="14" t="str">
        <f>INDEX(Product_author_data__3[All-in-one],MATCH(Sales!$B103,Product_author_data__3[Course ID],0))</f>
        <v>James Grau</v>
      </c>
      <c r="D103" t="s">
        <v>29</v>
      </c>
      <c r="E103" s="13">
        <v>13893</v>
      </c>
      <c r="F103" s="13">
        <v>11461.725</v>
      </c>
      <c r="G103" s="13">
        <v>662</v>
      </c>
      <c r="H103" s="13">
        <v>421</v>
      </c>
    </row>
    <row r="104" spans="1:8" x14ac:dyDescent="0.3">
      <c r="A104" t="s">
        <v>40</v>
      </c>
      <c r="B104">
        <v>2389252</v>
      </c>
      <c r="C104" s="14" t="str">
        <f>INDEX(Product_author_data__3[All-in-one],MATCH(Sales!$B104,Product_author_data__3[Course ID],0))</f>
        <v>Jack Sparrow</v>
      </c>
      <c r="D104" t="s">
        <v>26</v>
      </c>
      <c r="E104" s="13">
        <v>37575</v>
      </c>
      <c r="F104" s="13">
        <v>28932.750000000004</v>
      </c>
      <c r="G104" s="13">
        <v>396</v>
      </c>
      <c r="H104" s="13">
        <v>330</v>
      </c>
    </row>
    <row r="105" spans="1:8" x14ac:dyDescent="0.3">
      <c r="A105" t="s">
        <v>40</v>
      </c>
      <c r="B105">
        <v>4058218</v>
      </c>
      <c r="C105" s="14" t="str">
        <f>INDEX(Product_author_data__3[All-in-one],MATCH(Sales!$B105,Product_author_data__3[Course ID],0))</f>
        <v>Phil Kane</v>
      </c>
      <c r="D105" t="s">
        <v>29</v>
      </c>
      <c r="E105" s="13">
        <v>99038</v>
      </c>
      <c r="F105" s="13">
        <v>69722.752000000008</v>
      </c>
      <c r="G105" s="13">
        <v>5503</v>
      </c>
      <c r="H105" s="13">
        <v>6603</v>
      </c>
    </row>
    <row r="106" spans="1:8" x14ac:dyDescent="0.3">
      <c r="A106" t="s">
        <v>40</v>
      </c>
      <c r="B106">
        <v>1565087</v>
      </c>
      <c r="C106" s="14" t="str">
        <f>INDEX(Product_author_data__3[All-in-one],MATCH(Sales!$B106,Product_author_data__3[Course ID],0))</f>
        <v>Michael Jones</v>
      </c>
      <c r="D106" t="s">
        <v>29</v>
      </c>
      <c r="E106" s="13">
        <v>36697</v>
      </c>
      <c r="F106" s="13">
        <v>26642.022000000001</v>
      </c>
      <c r="G106" s="13">
        <v>2622</v>
      </c>
      <c r="H106" s="13">
        <v>1147</v>
      </c>
    </row>
    <row r="107" spans="1:8" x14ac:dyDescent="0.3">
      <c r="A107" t="s">
        <v>41</v>
      </c>
      <c r="B107">
        <v>6848850</v>
      </c>
      <c r="C107" s="14" t="str">
        <f>INDEX(Product_author_data__3[All-in-one],MATCH(Sales!$B107,Product_author_data__3[Course ID],0))</f>
        <v>Evelyn Walters</v>
      </c>
      <c r="D107" t="s">
        <v>29</v>
      </c>
      <c r="E107" s="13">
        <v>51183</v>
      </c>
      <c r="F107" s="13">
        <v>25591.5</v>
      </c>
      <c r="G107" s="13">
        <v>1969</v>
      </c>
      <c r="H107" s="13">
        <v>1506</v>
      </c>
    </row>
    <row r="108" spans="1:8" x14ac:dyDescent="0.3">
      <c r="A108" t="s">
        <v>41</v>
      </c>
      <c r="B108">
        <v>2023456</v>
      </c>
      <c r="C108" s="14" t="str">
        <f>INDEX(Product_author_data__3[All-in-one],MATCH(Sales!$B108,Product_author_data__3[Course ID],0))</f>
        <v>Angie Lee</v>
      </c>
      <c r="D108" t="s">
        <v>26</v>
      </c>
      <c r="E108" s="13">
        <v>83169</v>
      </c>
      <c r="F108" s="13">
        <v>41584.5</v>
      </c>
      <c r="G108" s="13">
        <v>1460</v>
      </c>
      <c r="H108" s="13">
        <v>743</v>
      </c>
    </row>
    <row r="109" spans="1:8" x14ac:dyDescent="0.3">
      <c r="A109" t="s">
        <v>41</v>
      </c>
      <c r="B109">
        <v>9423212</v>
      </c>
      <c r="C109" s="14" t="str">
        <f>INDEX(Product_author_data__3[All-in-one],MATCH(Sales!$B109,Product_author_data__3[Course ID],0))</f>
        <v>John Silver</v>
      </c>
      <c r="D109" t="s">
        <v>26</v>
      </c>
      <c r="E109" s="13">
        <v>59442</v>
      </c>
      <c r="F109" s="13">
        <v>29721</v>
      </c>
      <c r="G109" s="13">
        <v>1101</v>
      </c>
      <c r="H109" s="13">
        <v>572</v>
      </c>
    </row>
    <row r="110" spans="1:8" x14ac:dyDescent="0.3">
      <c r="A110" t="s">
        <v>41</v>
      </c>
      <c r="B110">
        <v>9847760</v>
      </c>
      <c r="C110" s="14" t="str">
        <f>INDEX(Product_author_data__3[All-in-one],MATCH(Sales!$B110,Product_author_data__3[Course ID],0))</f>
        <v>Andrew Lim</v>
      </c>
      <c r="D110" t="s">
        <v>29</v>
      </c>
      <c r="E110" s="13">
        <v>96112</v>
      </c>
      <c r="F110" s="13">
        <v>74967.360000000001</v>
      </c>
      <c r="G110" s="13">
        <v>1526</v>
      </c>
      <c r="H110" s="13">
        <v>1249</v>
      </c>
    </row>
    <row r="111" spans="1:8" x14ac:dyDescent="0.3">
      <c r="A111" t="s">
        <v>41</v>
      </c>
      <c r="B111">
        <v>4862491</v>
      </c>
      <c r="C111" s="14" t="str">
        <f>INDEX(Product_author_data__3[All-in-one],MATCH(Sales!$B111,Product_author_data__3[Course ID],0))</f>
        <v>Reuben Long</v>
      </c>
      <c r="D111" t="s">
        <v>29</v>
      </c>
      <c r="E111" s="13">
        <v>56588</v>
      </c>
      <c r="F111" s="13">
        <v>34518.68</v>
      </c>
      <c r="G111" s="13">
        <v>2461</v>
      </c>
      <c r="H111" s="13">
        <v>1572</v>
      </c>
    </row>
    <row r="112" spans="1:8" x14ac:dyDescent="0.3">
      <c r="A112" t="s">
        <v>41</v>
      </c>
      <c r="B112">
        <v>1061527</v>
      </c>
      <c r="C112" s="14" t="str">
        <f>INDEX(Product_author_data__3[All-in-one],MATCH(Sales!$B112,Product_author_data__3[Course ID],0))</f>
        <v>Ana Nacho</v>
      </c>
      <c r="D112" t="s">
        <v>27</v>
      </c>
      <c r="E112" s="13">
        <v>33370</v>
      </c>
      <c r="F112" s="13">
        <v>30033</v>
      </c>
      <c r="G112" s="13">
        <v>341</v>
      </c>
      <c r="H112" s="13">
        <v>338</v>
      </c>
    </row>
    <row r="113" spans="1:8" x14ac:dyDescent="0.3">
      <c r="A113" t="s">
        <v>41</v>
      </c>
      <c r="B113">
        <v>7824934</v>
      </c>
      <c r="C113" s="14" t="str">
        <f>INDEX(Product_author_data__3[All-in-one],MATCH(Sales!$B113,Product_author_data__3[Course ID],0))</f>
        <v>John Silver</v>
      </c>
      <c r="D113" t="s">
        <v>26</v>
      </c>
      <c r="E113" s="13">
        <v>28607</v>
      </c>
      <c r="F113" s="13">
        <v>14303.5</v>
      </c>
      <c r="G113" s="13">
        <v>494</v>
      </c>
      <c r="H113" s="13">
        <v>292</v>
      </c>
    </row>
    <row r="114" spans="1:8" x14ac:dyDescent="0.3">
      <c r="A114" t="s">
        <v>41</v>
      </c>
      <c r="B114">
        <v>9914339</v>
      </c>
      <c r="C114" s="14" t="str">
        <f>INDEX(Product_author_data__3[All-in-one],MATCH(Sales!$B114,Product_author_data__3[Course ID],0))</f>
        <v>Phil Kane</v>
      </c>
      <c r="D114" t="s">
        <v>27</v>
      </c>
      <c r="E114" s="13">
        <v>15962</v>
      </c>
      <c r="F114" s="13">
        <v>7981</v>
      </c>
      <c r="G114" s="13">
        <v>551</v>
      </c>
      <c r="H114" s="13">
        <v>347</v>
      </c>
    </row>
    <row r="115" spans="1:8" x14ac:dyDescent="0.3">
      <c r="A115" t="s">
        <v>41</v>
      </c>
      <c r="B115">
        <v>4308684</v>
      </c>
      <c r="C115" s="14" t="str">
        <f>INDEX(Product_author_data__3[All-in-one],MATCH(Sales!$B115,Product_author_data__3[Course ID],0))</f>
        <v>Ana Nacho</v>
      </c>
      <c r="D115" t="s">
        <v>29</v>
      </c>
      <c r="E115" s="13">
        <v>97950</v>
      </c>
      <c r="F115" s="13">
        <v>70524</v>
      </c>
      <c r="G115" s="13">
        <v>3265</v>
      </c>
      <c r="H115" s="13">
        <v>1959</v>
      </c>
    </row>
    <row r="116" spans="1:8" x14ac:dyDescent="0.3">
      <c r="A116" t="s">
        <v>41</v>
      </c>
      <c r="B116">
        <v>1083252</v>
      </c>
      <c r="C116" s="14" t="str">
        <f>INDEX(Product_author_data__3[All-in-one],MATCH(Sales!$B116,Product_author_data__3[Course ID],0))</f>
        <v>Ana Nacho</v>
      </c>
      <c r="D116" t="s">
        <v>26</v>
      </c>
      <c r="E116" s="13">
        <v>37873</v>
      </c>
      <c r="F116" s="13">
        <v>18936.5</v>
      </c>
      <c r="G116" s="13">
        <v>417</v>
      </c>
      <c r="H116" s="13">
        <v>181</v>
      </c>
    </row>
    <row r="117" spans="1:8" x14ac:dyDescent="0.3">
      <c r="A117" t="s">
        <v>41</v>
      </c>
      <c r="B117">
        <v>7132999</v>
      </c>
      <c r="C117" s="14" t="str">
        <f>INDEX(Product_author_data__3[All-in-one],MATCH(Sales!$B117,Product_author_data__3[Course ID],0))</f>
        <v>Daniel Gulady</v>
      </c>
      <c r="D117" t="s">
        <v>26</v>
      </c>
      <c r="E117" s="13">
        <v>57188</v>
      </c>
      <c r="F117" s="13">
        <v>28594</v>
      </c>
      <c r="G117" s="13">
        <v>1144</v>
      </c>
      <c r="H117" s="13">
        <v>421</v>
      </c>
    </row>
    <row r="118" spans="1:8" x14ac:dyDescent="0.3">
      <c r="A118" t="s">
        <v>41</v>
      </c>
      <c r="B118">
        <v>4317696</v>
      </c>
      <c r="C118" s="14" t="str">
        <f>INDEX(Product_author_data__3[All-in-one],MATCH(Sales!$B118,Product_author_data__3[Course ID],0))</f>
        <v>John Silver</v>
      </c>
      <c r="D118" t="s">
        <v>29</v>
      </c>
      <c r="E118" s="13">
        <v>60631</v>
      </c>
      <c r="F118" s="13">
        <v>30315.5</v>
      </c>
      <c r="G118" s="13">
        <v>809</v>
      </c>
      <c r="H118" s="13">
        <v>337</v>
      </c>
    </row>
    <row r="119" spans="1:8" x14ac:dyDescent="0.3">
      <c r="A119" t="s">
        <v>41</v>
      </c>
      <c r="B119">
        <v>1112082</v>
      </c>
      <c r="C119" s="14" t="str">
        <f>INDEX(Product_author_data__3[All-in-one],MATCH(Sales!$B119,Product_author_data__3[Course ID],0))</f>
        <v>Andrew Lim</v>
      </c>
      <c r="D119" t="s">
        <v>29</v>
      </c>
      <c r="E119" s="13">
        <v>44978</v>
      </c>
      <c r="F119" s="13">
        <v>22489</v>
      </c>
      <c r="G119" s="13">
        <v>1323</v>
      </c>
      <c r="H119" s="13">
        <v>469</v>
      </c>
    </row>
    <row r="120" spans="1:8" x14ac:dyDescent="0.3">
      <c r="A120" t="s">
        <v>41</v>
      </c>
      <c r="B120">
        <v>9810605</v>
      </c>
      <c r="C120" s="14" t="str">
        <f>INDEX(Product_author_data__3[All-in-one],MATCH(Sales!$B120,Product_author_data__3[Course ID],0))</f>
        <v>Unlimited Learning</v>
      </c>
      <c r="D120" t="s">
        <v>27</v>
      </c>
      <c r="E120" s="13">
        <v>61935</v>
      </c>
      <c r="F120" s="13">
        <v>44593.2</v>
      </c>
      <c r="G120" s="13">
        <v>1016</v>
      </c>
      <c r="H120" s="13">
        <v>1068</v>
      </c>
    </row>
    <row r="121" spans="1:8" x14ac:dyDescent="0.3">
      <c r="A121" t="s">
        <v>41</v>
      </c>
      <c r="B121">
        <v>8591107</v>
      </c>
      <c r="C121" s="14" t="str">
        <f>INDEX(Product_author_data__3[All-in-one],MATCH(Sales!$B121,Product_author_data__3[Course ID],0))</f>
        <v>Michael Jones</v>
      </c>
      <c r="D121" t="s">
        <v>29</v>
      </c>
      <c r="E121" s="13">
        <v>13616</v>
      </c>
      <c r="F121" s="13">
        <v>6808</v>
      </c>
      <c r="G121" s="13">
        <v>278</v>
      </c>
      <c r="H121" s="13">
        <v>148</v>
      </c>
    </row>
    <row r="122" spans="1:8" x14ac:dyDescent="0.3">
      <c r="A122" t="s">
        <v>41</v>
      </c>
      <c r="B122">
        <v>3373623</v>
      </c>
      <c r="C122" s="14" t="str">
        <f>INDEX(Product_author_data__3[All-in-one],MATCH(Sales!$B122,Product_author_data__3[Course ID],0))</f>
        <v>Erin Monteiro</v>
      </c>
      <c r="D122" t="s">
        <v>29</v>
      </c>
      <c r="E122" s="13">
        <v>67183</v>
      </c>
      <c r="F122" s="13">
        <v>40981.629999999997</v>
      </c>
      <c r="G122" s="13">
        <v>884</v>
      </c>
      <c r="H122" s="13">
        <v>947</v>
      </c>
    </row>
    <row r="123" spans="1:8" x14ac:dyDescent="0.3">
      <c r="A123" t="s">
        <v>42</v>
      </c>
      <c r="B123">
        <v>4303108</v>
      </c>
      <c r="C123" s="14" t="str">
        <f>INDEX(Product_author_data__3[All-in-one],MATCH(Sales!$B123,Product_author_data__3[Course ID],0))</f>
        <v>Angie Lee</v>
      </c>
      <c r="D123" t="s">
        <v>26</v>
      </c>
      <c r="E123" s="13">
        <v>95708</v>
      </c>
      <c r="F123" s="13">
        <v>59338.96</v>
      </c>
      <c r="G123" s="13">
        <v>1841</v>
      </c>
      <c r="H123" s="13">
        <v>1473</v>
      </c>
    </row>
    <row r="124" spans="1:8" x14ac:dyDescent="0.3">
      <c r="A124" t="s">
        <v>42</v>
      </c>
      <c r="B124">
        <v>9545479</v>
      </c>
      <c r="C124" s="14" t="str">
        <f>INDEX(Product_author_data__3[All-in-one],MATCH(Sales!$B124,Product_author_data__3[Course ID],0))</f>
        <v>Jack Sparrow</v>
      </c>
      <c r="D124" t="s">
        <v>29</v>
      </c>
      <c r="E124" s="13">
        <v>25196</v>
      </c>
      <c r="F124" s="13">
        <v>12598</v>
      </c>
      <c r="G124" s="13">
        <v>495</v>
      </c>
      <c r="H124" s="13">
        <v>225</v>
      </c>
    </row>
    <row r="125" spans="1:8" x14ac:dyDescent="0.3">
      <c r="A125" t="s">
        <v>42</v>
      </c>
      <c r="B125">
        <v>3949968</v>
      </c>
      <c r="C125" s="14" t="str">
        <f>INDEX(Product_author_data__3[All-in-one],MATCH(Sales!$B125,Product_author_data__3[Course ID],0))</f>
        <v>Melissa Straw</v>
      </c>
      <c r="D125" t="s">
        <v>27</v>
      </c>
      <c r="E125" s="13">
        <v>74555</v>
      </c>
      <c r="F125" s="13">
        <v>37277.5</v>
      </c>
      <c r="G125" s="13">
        <v>1356</v>
      </c>
      <c r="H125" s="13">
        <v>643</v>
      </c>
    </row>
    <row r="126" spans="1:8" x14ac:dyDescent="0.3">
      <c r="A126" t="s">
        <v>42</v>
      </c>
      <c r="B126">
        <v>6861653</v>
      </c>
      <c r="C126" s="14" t="str">
        <f>INDEX(Product_author_data__3[All-in-one],MATCH(Sales!$B126,Product_author_data__3[Course ID],0))</f>
        <v>Melissa Straw</v>
      </c>
      <c r="D126" t="s">
        <v>27</v>
      </c>
      <c r="E126" s="13">
        <v>53340</v>
      </c>
      <c r="F126" s="13">
        <v>26670</v>
      </c>
      <c r="G126" s="13">
        <v>2052</v>
      </c>
      <c r="H126" s="13">
        <v>702</v>
      </c>
    </row>
    <row r="127" spans="1:8" x14ac:dyDescent="0.3">
      <c r="A127" t="s">
        <v>42</v>
      </c>
      <c r="B127">
        <v>9617531</v>
      </c>
      <c r="C127" s="14" t="str">
        <f>INDEX(Product_author_data__3[All-in-one],MATCH(Sales!$B127,Product_author_data__3[Course ID],0))</f>
        <v>Jenny Furlong</v>
      </c>
      <c r="D127" t="s">
        <v>29</v>
      </c>
      <c r="E127" s="13">
        <v>34705</v>
      </c>
      <c r="F127" s="13">
        <v>17352.5</v>
      </c>
      <c r="G127" s="13">
        <v>938</v>
      </c>
      <c r="H127" s="13">
        <v>496</v>
      </c>
    </row>
    <row r="128" spans="1:8" x14ac:dyDescent="0.3">
      <c r="A128" t="s">
        <v>42</v>
      </c>
      <c r="B128">
        <v>1588201</v>
      </c>
      <c r="C128" s="14" t="str">
        <f>INDEX(Product_author_data__3[All-in-one],MATCH(Sales!$B128,Product_author_data__3[Course ID],0))</f>
        <v>Liz Soomin</v>
      </c>
      <c r="D128" t="s">
        <v>26</v>
      </c>
      <c r="E128" s="13">
        <v>11514</v>
      </c>
      <c r="F128" s="13">
        <v>5757</v>
      </c>
      <c r="G128" s="13">
        <v>606</v>
      </c>
      <c r="H128" s="13">
        <v>443</v>
      </c>
    </row>
    <row r="129" spans="1:8" x14ac:dyDescent="0.3">
      <c r="A129" t="s">
        <v>42</v>
      </c>
      <c r="B129">
        <v>9289725</v>
      </c>
      <c r="C129" s="14" t="str">
        <f>INDEX(Product_author_data__3[All-in-one],MATCH(Sales!$B129,Product_author_data__3[Course ID],0))</f>
        <v>Phil Kane</v>
      </c>
      <c r="D129" t="s">
        <v>26</v>
      </c>
      <c r="E129" s="13">
        <v>33439</v>
      </c>
      <c r="F129" s="13">
        <v>16719.5</v>
      </c>
      <c r="G129" s="13">
        <v>984</v>
      </c>
      <c r="H129" s="13">
        <v>349</v>
      </c>
    </row>
    <row r="130" spans="1:8" x14ac:dyDescent="0.3">
      <c r="A130" t="s">
        <v>43</v>
      </c>
      <c r="B130">
        <v>6472691</v>
      </c>
      <c r="C130" s="14" t="str">
        <f>INDEX(Product_author_data__3[All-in-one],MATCH(Sales!$B130,Product_author_data__3[Course ID],0))</f>
        <v>Helen Bison</v>
      </c>
      <c r="D130" t="s">
        <v>27</v>
      </c>
      <c r="E130" s="13">
        <v>86818</v>
      </c>
      <c r="F130" s="13">
        <v>43409</v>
      </c>
      <c r="G130" s="13">
        <v>1174</v>
      </c>
      <c r="H130" s="13">
        <v>648</v>
      </c>
    </row>
    <row r="131" spans="1:8" x14ac:dyDescent="0.3">
      <c r="A131" t="s">
        <v>43</v>
      </c>
      <c r="B131">
        <v>8943492</v>
      </c>
      <c r="C131" s="14" t="str">
        <f>INDEX(Product_author_data__3[All-in-one],MATCH(Sales!$B131,Product_author_data__3[Course ID],0))</f>
        <v>Helen Bison</v>
      </c>
      <c r="D131" t="s">
        <v>26</v>
      </c>
      <c r="E131" s="13">
        <v>31431</v>
      </c>
      <c r="F131" s="13">
        <v>21373.08</v>
      </c>
      <c r="G131" s="13">
        <v>443</v>
      </c>
      <c r="H131" s="13">
        <v>414</v>
      </c>
    </row>
    <row r="132" spans="1:8" x14ac:dyDescent="0.3">
      <c r="A132" t="s">
        <v>43</v>
      </c>
      <c r="B132">
        <v>2299600</v>
      </c>
      <c r="C132" s="14" t="str">
        <f>INDEX(Product_author_data__3[All-in-one],MATCH(Sales!$B132,Product_author_data__3[Course ID],0))</f>
        <v>Andrew Fox</v>
      </c>
      <c r="D132" t="s">
        <v>27</v>
      </c>
      <c r="E132" s="13">
        <v>95218</v>
      </c>
      <c r="F132" s="13">
        <v>79030.94</v>
      </c>
      <c r="G132" s="13">
        <v>2976</v>
      </c>
      <c r="H132" s="13">
        <v>2116</v>
      </c>
    </row>
    <row r="133" spans="1:8" x14ac:dyDescent="0.3">
      <c r="A133" t="s">
        <v>43</v>
      </c>
      <c r="B133">
        <v>3966406</v>
      </c>
      <c r="C133" s="14" t="str">
        <f>INDEX(Product_author_data__3[All-in-one],MATCH(Sales!$B133,Product_author_data__3[Course ID],0))</f>
        <v>Jenny Furlong</v>
      </c>
      <c r="D133" t="s">
        <v>27</v>
      </c>
      <c r="E133" s="13">
        <v>11513</v>
      </c>
      <c r="F133" s="13">
        <v>5756.5</v>
      </c>
      <c r="G133" s="13">
        <v>360</v>
      </c>
      <c r="H133" s="13">
        <v>160</v>
      </c>
    </row>
    <row r="134" spans="1:8" x14ac:dyDescent="0.3">
      <c r="A134" t="s">
        <v>43</v>
      </c>
      <c r="B134">
        <v>6382675</v>
      </c>
      <c r="C134" s="14" t="str">
        <f>INDEX(Product_author_data__3[All-in-one],MATCH(Sales!$B134,Product_author_data__3[Course ID],0))</f>
        <v>John Silver</v>
      </c>
      <c r="D134" t="s">
        <v>29</v>
      </c>
      <c r="E134" s="13">
        <v>66067</v>
      </c>
      <c r="F134" s="13">
        <v>33033.5</v>
      </c>
      <c r="G134" s="13">
        <v>760</v>
      </c>
      <c r="H134" s="13">
        <v>424</v>
      </c>
    </row>
    <row r="135" spans="1:8" x14ac:dyDescent="0.3">
      <c r="A135" t="s">
        <v>43</v>
      </c>
      <c r="B135">
        <v>7925131</v>
      </c>
      <c r="C135" s="14" t="str">
        <f>INDEX(Product_author_data__3[All-in-one],MATCH(Sales!$B135,Product_author_data__3[Course ID],0))</f>
        <v>Andrew Lim</v>
      </c>
      <c r="D135" t="s">
        <v>27</v>
      </c>
      <c r="E135" s="13">
        <v>16974</v>
      </c>
      <c r="F135" s="13">
        <v>11881.8</v>
      </c>
      <c r="G135" s="13">
        <v>246</v>
      </c>
      <c r="H135" s="13">
        <v>262</v>
      </c>
    </row>
    <row r="136" spans="1:8" x14ac:dyDescent="0.3">
      <c r="A136" t="s">
        <v>43</v>
      </c>
      <c r="B136">
        <v>7713015</v>
      </c>
      <c r="C136" s="14" t="str">
        <f>INDEX(Product_author_data__3[All-in-one],MATCH(Sales!$B136,Product_author_data__3[Course ID],0))</f>
        <v>John Silver</v>
      </c>
      <c r="D136" t="s">
        <v>27</v>
      </c>
      <c r="E136" s="13">
        <v>51120</v>
      </c>
      <c r="F136" s="13">
        <v>25560</v>
      </c>
      <c r="G136" s="13">
        <v>1162</v>
      </c>
      <c r="H136" s="13">
        <v>406</v>
      </c>
    </row>
    <row r="137" spans="1:8" x14ac:dyDescent="0.3">
      <c r="A137" t="s">
        <v>43</v>
      </c>
      <c r="B137">
        <v>2437410</v>
      </c>
      <c r="C137" s="14" t="str">
        <f>INDEX(Product_author_data__3[All-in-one],MATCH(Sales!$B137,Product_author_data__3[Course ID],0))</f>
        <v>Unlimited Learning</v>
      </c>
      <c r="D137" t="s">
        <v>29</v>
      </c>
      <c r="E137" s="13">
        <v>49435</v>
      </c>
      <c r="F137" s="13">
        <v>39548</v>
      </c>
      <c r="G137" s="13">
        <v>989</v>
      </c>
      <c r="H137" s="13">
        <v>868</v>
      </c>
    </row>
    <row r="138" spans="1:8" x14ac:dyDescent="0.3">
      <c r="A138" t="s">
        <v>43</v>
      </c>
      <c r="B138">
        <v>2776355</v>
      </c>
      <c r="C138" s="14" t="str">
        <f>INDEX(Product_author_data__3[All-in-one],MATCH(Sales!$B138,Product_author_data__3[Course ID],0))</f>
        <v>Reuben Long</v>
      </c>
      <c r="D138" t="s">
        <v>29</v>
      </c>
      <c r="E138" s="13">
        <v>91832</v>
      </c>
      <c r="F138" s="13">
        <v>45916</v>
      </c>
      <c r="G138" s="13">
        <v>1056</v>
      </c>
      <c r="H138" s="13">
        <v>547</v>
      </c>
    </row>
    <row r="139" spans="1:8" x14ac:dyDescent="0.3">
      <c r="A139" t="s">
        <v>43</v>
      </c>
      <c r="B139">
        <v>2774540</v>
      </c>
      <c r="C139" s="14" t="str">
        <f>INDEX(Product_author_data__3[All-in-one],MATCH(Sales!$B139,Product_author_data__3[Course ID],0))</f>
        <v>Jenny Furlong</v>
      </c>
      <c r="D139" t="s">
        <v>27</v>
      </c>
      <c r="E139" s="13">
        <v>43917</v>
      </c>
      <c r="F139" s="13">
        <v>26350.2</v>
      </c>
      <c r="G139" s="13">
        <v>1255</v>
      </c>
      <c r="H139" s="13">
        <v>915</v>
      </c>
    </row>
    <row r="140" spans="1:8" x14ac:dyDescent="0.3">
      <c r="A140" t="s">
        <v>43</v>
      </c>
      <c r="B140">
        <v>6131576</v>
      </c>
      <c r="C140" s="14" t="str">
        <f>INDEX(Product_author_data__3[All-in-one],MATCH(Sales!$B140,Product_author_data__3[Course ID],0))</f>
        <v>John Silver</v>
      </c>
      <c r="D140" t="s">
        <v>27</v>
      </c>
      <c r="E140" s="13">
        <v>14530</v>
      </c>
      <c r="F140" s="13">
        <v>7265</v>
      </c>
      <c r="G140" s="13">
        <v>255</v>
      </c>
      <c r="H140" s="13">
        <v>146</v>
      </c>
    </row>
    <row r="141" spans="1:8" x14ac:dyDescent="0.3">
      <c r="A141" t="s">
        <v>43</v>
      </c>
      <c r="B141">
        <v>4308759</v>
      </c>
      <c r="C141" s="14" t="str">
        <f>INDEX(Product_author_data__3[All-in-one],MATCH(Sales!$B141,Product_author_data__3[Course ID],0))</f>
        <v>Andrew Lim</v>
      </c>
      <c r="D141" t="s">
        <v>26</v>
      </c>
      <c r="E141" s="13">
        <v>74428</v>
      </c>
      <c r="F141" s="13">
        <v>37214</v>
      </c>
      <c r="G141" s="13">
        <v>1262</v>
      </c>
      <c r="H141" s="13">
        <v>621</v>
      </c>
    </row>
    <row r="142" spans="1:8" x14ac:dyDescent="0.3">
      <c r="A142" t="s">
        <v>43</v>
      </c>
      <c r="B142">
        <v>6312327</v>
      </c>
      <c r="C142" s="14" t="str">
        <f>INDEX(Product_author_data__3[All-in-one],MATCH(Sales!$B142,Product_author_data__3[Course ID],0))</f>
        <v>Evelyn Walters</v>
      </c>
      <c r="D142" t="s">
        <v>29</v>
      </c>
      <c r="E142" s="13">
        <v>41121</v>
      </c>
      <c r="F142" s="13">
        <v>34952.85</v>
      </c>
      <c r="G142" s="13">
        <v>521</v>
      </c>
      <c r="H142" s="13">
        <v>588</v>
      </c>
    </row>
    <row r="143" spans="1:8" x14ac:dyDescent="0.3">
      <c r="A143" t="s">
        <v>43</v>
      </c>
      <c r="B143">
        <v>5553821</v>
      </c>
      <c r="C143" s="14" t="str">
        <f>INDEX(Product_author_data__3[All-in-one],MATCH(Sales!$B143,Product_author_data__3[Course ID],0))</f>
        <v>Ana Nacho</v>
      </c>
      <c r="D143" t="s">
        <v>26</v>
      </c>
      <c r="E143" s="13">
        <v>76500</v>
      </c>
      <c r="F143" s="13">
        <v>61200</v>
      </c>
      <c r="G143" s="13">
        <v>1125</v>
      </c>
      <c r="H143" s="13">
        <v>1093</v>
      </c>
    </row>
    <row r="144" spans="1:8" x14ac:dyDescent="0.3">
      <c r="A144" t="s">
        <v>44</v>
      </c>
      <c r="B144">
        <v>9047006</v>
      </c>
      <c r="C144" s="14" t="str">
        <f>INDEX(Product_author_data__3[All-in-one],MATCH(Sales!$B144,Product_author_data__3[Course ID],0))</f>
        <v>Jenny Furlong</v>
      </c>
      <c r="D144" t="s">
        <v>27</v>
      </c>
      <c r="E144" s="13">
        <v>34763.300000000003</v>
      </c>
      <c r="F144" s="13">
        <v>41359</v>
      </c>
      <c r="G144" s="13">
        <v>1830.4</v>
      </c>
      <c r="H144" s="13">
        <v>790.4</v>
      </c>
    </row>
    <row r="145" spans="1:8" x14ac:dyDescent="0.3">
      <c r="A145" t="s">
        <v>44</v>
      </c>
      <c r="B145">
        <v>4131328</v>
      </c>
      <c r="C145" s="14" t="str">
        <f>INDEX(Product_author_data__3[All-in-one],MATCH(Sales!$B145,Product_author_data__3[Course ID],0))</f>
        <v>Jenny Furlong</v>
      </c>
      <c r="D145" t="s">
        <v>27</v>
      </c>
      <c r="E145" s="13">
        <v>122508.1</v>
      </c>
      <c r="F145" s="13">
        <v>88205.831999999995</v>
      </c>
      <c r="G145" s="13">
        <v>2663.7000000000003</v>
      </c>
      <c r="H145" s="13">
        <v>2008.5</v>
      </c>
    </row>
    <row r="146" spans="1:8" x14ac:dyDescent="0.3">
      <c r="A146" t="s">
        <v>44</v>
      </c>
      <c r="B146">
        <v>9888103</v>
      </c>
      <c r="C146" s="14" t="str">
        <f>INDEX(Product_author_data__3[All-in-one],MATCH(Sales!$B146,Product_author_data__3[Course ID],0))</f>
        <v>Daniel Gulady</v>
      </c>
      <c r="D146" t="s">
        <v>29</v>
      </c>
      <c r="E146" s="13">
        <v>77232</v>
      </c>
      <c r="F146" s="13">
        <v>38616</v>
      </c>
      <c r="G146" s="13">
        <v>1044</v>
      </c>
      <c r="H146" s="13">
        <v>444</v>
      </c>
    </row>
    <row r="147" spans="1:8" x14ac:dyDescent="0.3">
      <c r="A147" t="s">
        <v>44</v>
      </c>
      <c r="B147">
        <v>7975145</v>
      </c>
      <c r="C147" s="14" t="str">
        <f>INDEX(Product_author_data__3[All-in-one],MATCH(Sales!$B147,Product_author_data__3[Course ID],0))</f>
        <v>Melissa Straw</v>
      </c>
      <c r="D147" t="s">
        <v>27</v>
      </c>
      <c r="E147" s="13">
        <v>82726</v>
      </c>
      <c r="F147" s="13">
        <v>71144.36</v>
      </c>
      <c r="G147" s="13">
        <v>3064</v>
      </c>
      <c r="H147" s="13">
        <v>2298</v>
      </c>
    </row>
    <row r="148" spans="1:8" x14ac:dyDescent="0.3">
      <c r="A148" t="s">
        <v>44</v>
      </c>
      <c r="B148">
        <v>2436310</v>
      </c>
      <c r="C148" s="14" t="str">
        <f>INDEX(Product_author_data__3[All-in-one],MATCH(Sales!$B148,Product_author_data__3[Course ID],0))</f>
        <v>Jenny Furlong</v>
      </c>
      <c r="D148" t="s">
        <v>26</v>
      </c>
      <c r="E148" s="13">
        <v>58247.8</v>
      </c>
      <c r="F148" s="13">
        <v>48928.152000000002</v>
      </c>
      <c r="G148" s="13">
        <v>711.1</v>
      </c>
      <c r="H148" s="13">
        <v>787.80000000000007</v>
      </c>
    </row>
    <row r="149" spans="1:8" x14ac:dyDescent="0.3">
      <c r="A149" t="s">
        <v>44</v>
      </c>
      <c r="B149">
        <v>1256295</v>
      </c>
      <c r="C149" s="14" t="str">
        <f>INDEX(Product_author_data__3[All-in-one],MATCH(Sales!$B149,Product_author_data__3[Course ID],0))</f>
        <v>Daniel Gulady</v>
      </c>
      <c r="D149" t="s">
        <v>29</v>
      </c>
      <c r="E149" s="13">
        <v>24559</v>
      </c>
      <c r="F149" s="13">
        <v>12279.5</v>
      </c>
      <c r="G149" s="13">
        <v>439</v>
      </c>
      <c r="H149" s="13">
        <v>262</v>
      </c>
    </row>
    <row r="150" spans="1:8" x14ac:dyDescent="0.3">
      <c r="A150" t="s">
        <v>44</v>
      </c>
      <c r="B150">
        <v>6975772</v>
      </c>
      <c r="C150" s="14" t="str">
        <f>INDEX(Product_author_data__3[All-in-one],MATCH(Sales!$B150,Product_author_data__3[Course ID],0))</f>
        <v>Unlimited Learning</v>
      </c>
      <c r="D150" t="s">
        <v>29</v>
      </c>
      <c r="E150" s="13">
        <v>13068</v>
      </c>
      <c r="F150" s="13">
        <v>6534</v>
      </c>
      <c r="G150" s="13">
        <v>654</v>
      </c>
      <c r="H150" s="13">
        <v>164</v>
      </c>
    </row>
    <row r="151" spans="1:8" x14ac:dyDescent="0.3">
      <c r="A151" t="s">
        <v>44</v>
      </c>
      <c r="B151">
        <v>9053120</v>
      </c>
      <c r="C151" s="14" t="str">
        <f>INDEX(Product_author_data__3[All-in-one],MATCH(Sales!$B151,Product_author_data__3[Course ID],0))</f>
        <v>Andrew Lim</v>
      </c>
      <c r="D151" t="s">
        <v>27</v>
      </c>
      <c r="E151" s="13">
        <v>52624</v>
      </c>
      <c r="F151" s="13">
        <v>26312</v>
      </c>
      <c r="G151" s="13">
        <v>1012</v>
      </c>
      <c r="H151" s="13">
        <v>479</v>
      </c>
    </row>
    <row r="152" spans="1:8" x14ac:dyDescent="0.3">
      <c r="A152" t="s">
        <v>44</v>
      </c>
      <c r="B152">
        <v>7582544</v>
      </c>
      <c r="C152" s="14" t="str">
        <f>INDEX(Product_author_data__3[All-in-one],MATCH(Sales!$B152,Product_author_data__3[Course ID],0))</f>
        <v>Liz Soomin</v>
      </c>
      <c r="D152" t="s">
        <v>27</v>
      </c>
      <c r="E152" s="13">
        <v>87781</v>
      </c>
      <c r="F152" s="13">
        <v>43890.5</v>
      </c>
      <c r="G152" s="13">
        <v>1568</v>
      </c>
      <c r="H152" s="13">
        <v>896</v>
      </c>
    </row>
    <row r="153" spans="1:8" x14ac:dyDescent="0.3">
      <c r="A153" t="s">
        <v>44</v>
      </c>
      <c r="B153">
        <v>8682843</v>
      </c>
      <c r="C153" s="14" t="str">
        <f>INDEX(Product_author_data__3[All-in-one],MATCH(Sales!$B153,Product_author_data__3[Course ID],0))</f>
        <v>John Silver</v>
      </c>
      <c r="D153" t="s">
        <v>29</v>
      </c>
      <c r="E153" s="13">
        <v>91781</v>
      </c>
      <c r="F153" s="13">
        <v>45890.5</v>
      </c>
      <c r="G153" s="13">
        <v>2186</v>
      </c>
      <c r="H153" s="13">
        <v>1148</v>
      </c>
    </row>
    <row r="154" spans="1:8" x14ac:dyDescent="0.3">
      <c r="A154" t="s">
        <v>44</v>
      </c>
      <c r="B154">
        <v>5953827</v>
      </c>
      <c r="C154" s="14" t="str">
        <f>INDEX(Product_author_data__3[All-in-one],MATCH(Sales!$B154,Product_author_data__3[Course ID],0))</f>
        <v>James Grau</v>
      </c>
      <c r="D154" t="s">
        <v>29</v>
      </c>
      <c r="E154" s="13">
        <v>36369</v>
      </c>
      <c r="F154" s="13">
        <v>18184.5</v>
      </c>
      <c r="G154" s="13">
        <v>492</v>
      </c>
      <c r="H154" s="13">
        <v>257</v>
      </c>
    </row>
    <row r="155" spans="1:8" x14ac:dyDescent="0.3">
      <c r="A155" t="s">
        <v>44</v>
      </c>
      <c r="B155">
        <v>5766742</v>
      </c>
      <c r="C155" s="14" t="str">
        <f>INDEX(Product_author_data__3[All-in-one],MATCH(Sales!$B155,Product_author_data__3[Course ID],0))</f>
        <v>Helen Bison</v>
      </c>
      <c r="D155" t="s">
        <v>27</v>
      </c>
      <c r="E155" s="13">
        <v>64374</v>
      </c>
      <c r="F155" s="13">
        <v>32187</v>
      </c>
      <c r="G155" s="13">
        <v>4952</v>
      </c>
      <c r="H155" s="13">
        <v>10729</v>
      </c>
    </row>
    <row r="156" spans="1:8" x14ac:dyDescent="0.3">
      <c r="A156" t="s">
        <v>44</v>
      </c>
      <c r="B156">
        <v>2145045</v>
      </c>
      <c r="C156" s="14" t="str">
        <f>INDEX(Product_author_data__3[All-in-one],MATCH(Sales!$B156,Product_author_data__3[Course ID],0))</f>
        <v>Jenny Furlong</v>
      </c>
      <c r="D156" t="s">
        <v>27</v>
      </c>
      <c r="E156" s="13">
        <v>125014.5</v>
      </c>
      <c r="F156" s="13">
        <v>112513.05</v>
      </c>
      <c r="G156" s="13">
        <v>2501.2000000000003</v>
      </c>
      <c r="H156" s="13">
        <v>1953.9</v>
      </c>
    </row>
    <row r="157" spans="1:8" x14ac:dyDescent="0.3">
      <c r="A157" t="s">
        <v>44</v>
      </c>
      <c r="B157">
        <v>4641638</v>
      </c>
      <c r="C157" s="14" t="str">
        <f>INDEX(Product_author_data__3[All-in-one],MATCH(Sales!$B157,Product_author_data__3[Course ID],0))</f>
        <v>Andrew Lim</v>
      </c>
      <c r="D157" t="s">
        <v>26</v>
      </c>
      <c r="E157" s="13">
        <v>61496</v>
      </c>
      <c r="F157" s="13">
        <v>30748</v>
      </c>
      <c r="G157" s="13">
        <v>1099</v>
      </c>
      <c r="H157" s="13">
        <v>459</v>
      </c>
    </row>
    <row r="158" spans="1:8" x14ac:dyDescent="0.3">
      <c r="A158" t="s">
        <v>44</v>
      </c>
      <c r="B158">
        <v>6569884</v>
      </c>
      <c r="C158" s="14" t="str">
        <f>INDEX(Product_author_data__3[All-in-one],MATCH(Sales!$B158,Product_author_data__3[Course ID],0))</f>
        <v>Helen Bison</v>
      </c>
      <c r="D158" t="s">
        <v>26</v>
      </c>
      <c r="E158" s="13">
        <v>96602</v>
      </c>
      <c r="F158" s="13">
        <v>85975.78</v>
      </c>
      <c r="G158" s="13">
        <v>1151</v>
      </c>
      <c r="H158" s="13">
        <v>1272</v>
      </c>
    </row>
  </sheetData>
  <autoFilter ref="A3:H158" xr:uid="{492BBB9B-28B5-4300-910D-2EB419204C9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8C86-751C-4F67-99DF-305C53FC311E}">
  <dimension ref="A1:N160"/>
  <sheetViews>
    <sheetView workbookViewId="0">
      <pane xSplit="1" ySplit="5" topLeftCell="B137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1.33203125" bestFit="1" customWidth="1"/>
    <col min="2" max="2" width="11.77734375" bestFit="1" customWidth="1"/>
    <col min="3" max="3" width="12.21875" bestFit="1" customWidth="1"/>
    <col min="4" max="4" width="18" bestFit="1" customWidth="1"/>
    <col min="5" max="5" width="18.44140625" bestFit="1" customWidth="1"/>
    <col min="6" max="6" width="20.77734375" bestFit="1" customWidth="1"/>
    <col min="7" max="7" width="18" bestFit="1" customWidth="1"/>
    <col min="8" max="9" width="17.6640625" bestFit="1" customWidth="1"/>
  </cols>
  <sheetData>
    <row r="1" spans="1:14" ht="15.6" x14ac:dyDescent="0.3">
      <c r="A1" s="2" t="s">
        <v>88</v>
      </c>
    </row>
    <row r="2" spans="1:14" ht="15.6" x14ac:dyDescent="0.3">
      <c r="A2" s="2"/>
    </row>
    <row r="3" spans="1:14" ht="15.6" x14ac:dyDescent="0.3">
      <c r="A3" s="2"/>
    </row>
    <row r="4" spans="1:14" ht="15.6" x14ac:dyDescent="0.3">
      <c r="A4" s="2"/>
    </row>
    <row r="5" spans="1:14" s="3" customFormat="1" ht="28.8" customHeight="1" x14ac:dyDescent="0.3">
      <c r="A5" s="10" t="s">
        <v>19</v>
      </c>
      <c r="B5" s="10" t="s">
        <v>46</v>
      </c>
      <c r="C5" s="10" t="s">
        <v>47</v>
      </c>
      <c r="D5" s="10" t="s">
        <v>89</v>
      </c>
      <c r="E5" s="10" t="s">
        <v>90</v>
      </c>
      <c r="F5" s="10" t="s">
        <v>91</v>
      </c>
      <c r="G5" s="10" t="s">
        <v>92</v>
      </c>
      <c r="H5" s="10" t="s">
        <v>93</v>
      </c>
      <c r="I5" s="10" t="s">
        <v>94</v>
      </c>
      <c r="J5" s="10" t="s">
        <v>95</v>
      </c>
      <c r="K5" s="10" t="s">
        <v>96</v>
      </c>
      <c r="L5" s="10" t="s">
        <v>97</v>
      </c>
      <c r="M5" s="10" t="s">
        <v>98</v>
      </c>
      <c r="N5" s="10" t="s">
        <v>99</v>
      </c>
    </row>
    <row r="6" spans="1:14" x14ac:dyDescent="0.3">
      <c r="A6">
        <v>8262231</v>
      </c>
      <c r="B6" t="s">
        <v>48</v>
      </c>
      <c r="C6" t="s">
        <v>49</v>
      </c>
      <c r="D6" s="14" t="str">
        <f>CONCATENATE(C6,B6)</f>
        <v xml:space="preserve">michael jones  </v>
      </c>
      <c r="E6" s="14" t="str">
        <f t="shared" ref="E6:E37" si="0">PROPER(D6)</f>
        <v xml:space="preserve">Michael Jones  </v>
      </c>
      <c r="F6" s="14" t="str">
        <f t="shared" ref="F6:F37" si="1">UPPER(E6)</f>
        <v xml:space="preserve">MICHAEL JONES  </v>
      </c>
      <c r="G6" s="14" t="str">
        <f>LOWER(D6)</f>
        <v xml:space="preserve">michael jones  </v>
      </c>
      <c r="H6" s="14" t="str">
        <f t="shared" ref="H6:H37" si="2">TRIM(E6)</f>
        <v>Michael Jones</v>
      </c>
      <c r="I6" s="14" t="str">
        <f t="shared" ref="I6:I37" si="3">TRIM(PROPER(CONCATENATE(C6," ",B6)))</f>
        <v>Michael Jones</v>
      </c>
      <c r="J6" s="14"/>
      <c r="K6" s="14"/>
      <c r="L6" s="14"/>
      <c r="M6" s="14"/>
      <c r="N6" s="14"/>
    </row>
    <row r="7" spans="1:14" x14ac:dyDescent="0.3">
      <c r="A7">
        <v>2630173</v>
      </c>
      <c r="B7" t="s">
        <v>50</v>
      </c>
      <c r="C7" t="s">
        <v>51</v>
      </c>
      <c r="D7" s="14" t="str">
        <f t="shared" ref="D7:D37" si="4">CONCATENATE(C7,B7)</f>
        <v xml:space="preserve">ana nacho  </v>
      </c>
      <c r="E7" s="14" t="str">
        <f t="shared" si="0"/>
        <v xml:space="preserve">Ana Nacho  </v>
      </c>
      <c r="F7" s="14" t="str">
        <f t="shared" si="1"/>
        <v xml:space="preserve">ANA NACHO  </v>
      </c>
      <c r="G7" s="14" t="str">
        <f t="shared" ref="G7:G37" si="5">LOWER(D7)</f>
        <v xml:space="preserve">ana nacho  </v>
      </c>
      <c r="H7" s="14" t="str">
        <f t="shared" si="2"/>
        <v>Ana Nacho</v>
      </c>
      <c r="I7" s="14" t="str">
        <f t="shared" si="3"/>
        <v>Ana Nacho</v>
      </c>
      <c r="J7" s="14"/>
      <c r="K7" s="14"/>
      <c r="L7" s="14"/>
      <c r="M7" s="14"/>
      <c r="N7" s="14"/>
    </row>
    <row r="8" spans="1:14" x14ac:dyDescent="0.3">
      <c r="A8">
        <v>4294093</v>
      </c>
      <c r="B8" t="s">
        <v>52</v>
      </c>
      <c r="C8" t="s">
        <v>53</v>
      </c>
      <c r="D8" s="14" t="str">
        <f t="shared" si="4"/>
        <v xml:space="preserve">john silver  </v>
      </c>
      <c r="E8" s="14" t="str">
        <f t="shared" si="0"/>
        <v xml:space="preserve">John Silver  </v>
      </c>
      <c r="F8" s="14" t="str">
        <f t="shared" si="1"/>
        <v xml:space="preserve">JOHN SILVER  </v>
      </c>
      <c r="G8" s="14" t="str">
        <f t="shared" si="5"/>
        <v xml:space="preserve">john silver  </v>
      </c>
      <c r="H8" s="14" t="str">
        <f t="shared" si="2"/>
        <v>John Silver</v>
      </c>
      <c r="I8" s="14" t="str">
        <f t="shared" si="3"/>
        <v>John Silver</v>
      </c>
      <c r="J8" s="14"/>
      <c r="K8" s="14"/>
      <c r="L8" s="14"/>
      <c r="M8" s="14"/>
      <c r="N8" s="14"/>
    </row>
    <row r="9" spans="1:14" x14ac:dyDescent="0.3">
      <c r="A9">
        <v>7612474</v>
      </c>
      <c r="B9" t="s">
        <v>54</v>
      </c>
      <c r="C9" t="s">
        <v>55</v>
      </c>
      <c r="D9" s="14" t="str">
        <f t="shared" si="4"/>
        <v xml:space="preserve">liz soomin  </v>
      </c>
      <c r="E9" s="14" t="str">
        <f t="shared" si="0"/>
        <v xml:space="preserve">Liz Soomin  </v>
      </c>
      <c r="F9" s="14" t="str">
        <f t="shared" si="1"/>
        <v xml:space="preserve">LIZ SOOMIN  </v>
      </c>
      <c r="G9" s="14" t="str">
        <f t="shared" si="5"/>
        <v xml:space="preserve">liz soomin  </v>
      </c>
      <c r="H9" s="14" t="str">
        <f t="shared" si="2"/>
        <v>Liz Soomin</v>
      </c>
      <c r="I9" s="14" t="str">
        <f t="shared" si="3"/>
        <v>Liz Soomin</v>
      </c>
      <c r="J9" s="14"/>
      <c r="K9" s="14"/>
      <c r="L9" s="14"/>
      <c r="M9" s="14"/>
      <c r="N9" s="14"/>
    </row>
    <row r="10" spans="1:14" x14ac:dyDescent="0.3">
      <c r="A10">
        <v>7610928</v>
      </c>
      <c r="B10" t="s">
        <v>56</v>
      </c>
      <c r="C10" t="s">
        <v>57</v>
      </c>
      <c r="D10" s="14" t="str">
        <f t="shared" si="4"/>
        <v xml:space="preserve">phil kane  </v>
      </c>
      <c r="E10" s="14" t="str">
        <f t="shared" si="0"/>
        <v xml:space="preserve">Phil Kane  </v>
      </c>
      <c r="F10" s="14" t="str">
        <f t="shared" si="1"/>
        <v xml:space="preserve">PHIL KANE  </v>
      </c>
      <c r="G10" s="14" t="str">
        <f t="shared" si="5"/>
        <v xml:space="preserve">phil kane  </v>
      </c>
      <c r="H10" s="14" t="str">
        <f t="shared" si="2"/>
        <v>Phil Kane</v>
      </c>
      <c r="I10" s="14" t="str">
        <f t="shared" si="3"/>
        <v>Phil Kane</v>
      </c>
      <c r="J10" s="14"/>
      <c r="K10" s="14"/>
      <c r="L10" s="14"/>
      <c r="M10" s="14"/>
      <c r="N10" s="14"/>
    </row>
    <row r="11" spans="1:14" x14ac:dyDescent="0.3">
      <c r="A11">
        <v>7051703</v>
      </c>
      <c r="B11" t="s">
        <v>52</v>
      </c>
      <c r="C11" t="s">
        <v>53</v>
      </c>
      <c r="D11" s="14" t="str">
        <f t="shared" si="4"/>
        <v xml:space="preserve">john silver  </v>
      </c>
      <c r="E11" s="14" t="str">
        <f t="shared" si="0"/>
        <v xml:space="preserve">John Silver  </v>
      </c>
      <c r="F11" s="14" t="str">
        <f t="shared" si="1"/>
        <v xml:space="preserve">JOHN SILVER  </v>
      </c>
      <c r="G11" s="14" t="str">
        <f t="shared" si="5"/>
        <v xml:space="preserve">john silver  </v>
      </c>
      <c r="H11" s="14" t="str">
        <f t="shared" si="2"/>
        <v>John Silver</v>
      </c>
      <c r="I11" s="14" t="str">
        <f t="shared" si="3"/>
        <v>John Silver</v>
      </c>
      <c r="J11" s="14"/>
      <c r="K11" s="14"/>
      <c r="L11" s="14"/>
      <c r="M11" s="14"/>
      <c r="N11" s="14"/>
    </row>
    <row r="12" spans="1:14" x14ac:dyDescent="0.3">
      <c r="A12">
        <v>7972207</v>
      </c>
      <c r="B12" t="s">
        <v>58</v>
      </c>
      <c r="C12" t="s">
        <v>59</v>
      </c>
      <c r="D12" s="14" t="str">
        <f t="shared" si="4"/>
        <v xml:space="preserve">angie lee  </v>
      </c>
      <c r="E12" s="14" t="str">
        <f t="shared" si="0"/>
        <v xml:space="preserve">Angie Lee  </v>
      </c>
      <c r="F12" s="14" t="str">
        <f t="shared" si="1"/>
        <v xml:space="preserve">ANGIE LEE  </v>
      </c>
      <c r="G12" s="14" t="str">
        <f t="shared" si="5"/>
        <v xml:space="preserve">angie lee  </v>
      </c>
      <c r="H12" s="14" t="str">
        <f t="shared" si="2"/>
        <v>Angie Lee</v>
      </c>
      <c r="I12" s="14" t="str">
        <f t="shared" si="3"/>
        <v>Angie Lee</v>
      </c>
      <c r="J12" s="14"/>
      <c r="K12" s="14"/>
      <c r="L12" s="14"/>
      <c r="M12" s="14"/>
      <c r="N12" s="14"/>
    </row>
    <row r="13" spans="1:14" x14ac:dyDescent="0.3">
      <c r="A13">
        <v>8878879</v>
      </c>
      <c r="B13" t="s">
        <v>50</v>
      </c>
      <c r="C13" t="s">
        <v>51</v>
      </c>
      <c r="D13" s="14" t="str">
        <f t="shared" si="4"/>
        <v xml:space="preserve">ana nacho  </v>
      </c>
      <c r="E13" s="14" t="str">
        <f t="shared" si="0"/>
        <v xml:space="preserve">Ana Nacho  </v>
      </c>
      <c r="F13" s="14" t="str">
        <f t="shared" si="1"/>
        <v xml:space="preserve">ANA NACHO  </v>
      </c>
      <c r="G13" s="14" t="str">
        <f t="shared" si="5"/>
        <v xml:space="preserve">ana nacho  </v>
      </c>
      <c r="H13" s="14" t="str">
        <f t="shared" si="2"/>
        <v>Ana Nacho</v>
      </c>
      <c r="I13" s="14" t="str">
        <f t="shared" si="3"/>
        <v>Ana Nacho</v>
      </c>
      <c r="J13" s="14"/>
      <c r="K13" s="14"/>
      <c r="L13" s="14"/>
      <c r="M13" s="14"/>
      <c r="N13" s="14"/>
    </row>
    <row r="14" spans="1:14" x14ac:dyDescent="0.3">
      <c r="A14">
        <v>5228531</v>
      </c>
      <c r="B14" t="s">
        <v>60</v>
      </c>
      <c r="C14" t="s">
        <v>61</v>
      </c>
      <c r="D14" s="14" t="str">
        <f t="shared" si="4"/>
        <v xml:space="preserve">andrew lim  </v>
      </c>
      <c r="E14" s="14" t="str">
        <f t="shared" si="0"/>
        <v xml:space="preserve">Andrew Lim  </v>
      </c>
      <c r="F14" s="14" t="str">
        <f t="shared" si="1"/>
        <v xml:space="preserve">ANDREW LIM  </v>
      </c>
      <c r="G14" s="14" t="str">
        <f t="shared" si="5"/>
        <v xml:space="preserve">andrew lim  </v>
      </c>
      <c r="H14" s="14" t="str">
        <f t="shared" si="2"/>
        <v>Andrew Lim</v>
      </c>
      <c r="I14" s="14" t="str">
        <f t="shared" si="3"/>
        <v>Andrew Lim</v>
      </c>
      <c r="J14" s="14"/>
      <c r="K14" s="14"/>
      <c r="L14" s="14"/>
      <c r="M14" s="14"/>
      <c r="N14" s="14"/>
    </row>
    <row r="15" spans="1:14" x14ac:dyDescent="0.3">
      <c r="A15">
        <v>5772111</v>
      </c>
      <c r="B15" t="s">
        <v>62</v>
      </c>
      <c r="C15" t="s">
        <v>63</v>
      </c>
      <c r="D15" s="14" t="str">
        <f t="shared" si="4"/>
        <v xml:space="preserve">daniel gulady  </v>
      </c>
      <c r="E15" s="14" t="str">
        <f t="shared" si="0"/>
        <v xml:space="preserve">Daniel Gulady  </v>
      </c>
      <c r="F15" s="14" t="str">
        <f t="shared" si="1"/>
        <v xml:space="preserve">DANIEL GULADY  </v>
      </c>
      <c r="G15" s="14" t="str">
        <f t="shared" si="5"/>
        <v xml:space="preserve">daniel gulady  </v>
      </c>
      <c r="H15" s="14" t="str">
        <f t="shared" si="2"/>
        <v>Daniel Gulady</v>
      </c>
      <c r="I15" s="14" t="str">
        <f t="shared" si="3"/>
        <v>Daniel Gulady</v>
      </c>
      <c r="J15" s="14"/>
      <c r="K15" s="14"/>
      <c r="L15" s="14"/>
      <c r="M15" s="14"/>
      <c r="N15" s="14"/>
    </row>
    <row r="16" spans="1:14" x14ac:dyDescent="0.3">
      <c r="A16">
        <v>9678217</v>
      </c>
      <c r="B16" t="s">
        <v>56</v>
      </c>
      <c r="C16" t="s">
        <v>57</v>
      </c>
      <c r="D16" s="14" t="str">
        <f t="shared" si="4"/>
        <v xml:space="preserve">phil kane  </v>
      </c>
      <c r="E16" s="14" t="str">
        <f t="shared" si="0"/>
        <v xml:space="preserve">Phil Kane  </v>
      </c>
      <c r="F16" s="14" t="str">
        <f t="shared" si="1"/>
        <v xml:space="preserve">PHIL KANE  </v>
      </c>
      <c r="G16" s="14" t="str">
        <f t="shared" si="5"/>
        <v xml:space="preserve">phil kane  </v>
      </c>
      <c r="H16" s="14" t="str">
        <f t="shared" si="2"/>
        <v>Phil Kane</v>
      </c>
      <c r="I16" s="14" t="str">
        <f t="shared" si="3"/>
        <v>Phil Kane</v>
      </c>
      <c r="J16" s="14"/>
      <c r="K16" s="14"/>
      <c r="L16" s="14"/>
      <c r="M16" s="14"/>
      <c r="N16" s="14"/>
    </row>
    <row r="17" spans="1:14" x14ac:dyDescent="0.3">
      <c r="A17">
        <v>2902210</v>
      </c>
      <c r="B17" t="s">
        <v>64</v>
      </c>
      <c r="C17" t="s">
        <v>65</v>
      </c>
      <c r="D17" s="14" t="str">
        <f t="shared" si="4"/>
        <v xml:space="preserve">helen bison  </v>
      </c>
      <c r="E17" s="14" t="str">
        <f t="shared" si="0"/>
        <v xml:space="preserve">Helen Bison  </v>
      </c>
      <c r="F17" s="14" t="str">
        <f t="shared" si="1"/>
        <v xml:space="preserve">HELEN BISON  </v>
      </c>
      <c r="G17" s="14" t="str">
        <f t="shared" si="5"/>
        <v xml:space="preserve">helen bison  </v>
      </c>
      <c r="H17" s="14" t="str">
        <f t="shared" si="2"/>
        <v>Helen Bison</v>
      </c>
      <c r="I17" s="14" t="str">
        <f t="shared" si="3"/>
        <v>Helen Bison</v>
      </c>
      <c r="J17" s="14"/>
      <c r="K17" s="14"/>
      <c r="L17" s="14"/>
      <c r="M17" s="14"/>
      <c r="N17" s="14"/>
    </row>
    <row r="18" spans="1:14" x14ac:dyDescent="0.3">
      <c r="A18">
        <v>4628535</v>
      </c>
      <c r="B18" t="s">
        <v>48</v>
      </c>
      <c r="C18" t="s">
        <v>49</v>
      </c>
      <c r="D18" s="14" t="str">
        <f t="shared" si="4"/>
        <v xml:space="preserve">michael jones  </v>
      </c>
      <c r="E18" s="14" t="str">
        <f t="shared" si="0"/>
        <v xml:space="preserve">Michael Jones  </v>
      </c>
      <c r="F18" s="14" t="str">
        <f t="shared" si="1"/>
        <v xml:space="preserve">MICHAEL JONES  </v>
      </c>
      <c r="G18" s="14" t="str">
        <f t="shared" si="5"/>
        <v xml:space="preserve">michael jones  </v>
      </c>
      <c r="H18" s="14" t="str">
        <f t="shared" si="2"/>
        <v>Michael Jones</v>
      </c>
      <c r="I18" s="14" t="str">
        <f t="shared" si="3"/>
        <v>Michael Jones</v>
      </c>
      <c r="J18" s="14"/>
      <c r="K18" s="14"/>
      <c r="L18" s="14"/>
      <c r="M18" s="14"/>
      <c r="N18" s="14"/>
    </row>
    <row r="19" spans="1:14" x14ac:dyDescent="0.3">
      <c r="A19">
        <v>4102117</v>
      </c>
      <c r="B19" t="s">
        <v>66</v>
      </c>
      <c r="C19" t="s">
        <v>67</v>
      </c>
      <c r="D19" s="14" t="str">
        <f t="shared" si="4"/>
        <v xml:space="preserve">reuben long  </v>
      </c>
      <c r="E19" s="14" t="str">
        <f t="shared" si="0"/>
        <v xml:space="preserve">Reuben Long  </v>
      </c>
      <c r="F19" s="14" t="str">
        <f t="shared" si="1"/>
        <v xml:space="preserve">REUBEN LONG  </v>
      </c>
      <c r="G19" s="14" t="str">
        <f t="shared" si="5"/>
        <v xml:space="preserve">reuben long  </v>
      </c>
      <c r="H19" s="14" t="str">
        <f t="shared" si="2"/>
        <v>Reuben Long</v>
      </c>
      <c r="I19" s="14" t="str">
        <f t="shared" si="3"/>
        <v>Reuben Long</v>
      </c>
      <c r="J19" s="14"/>
      <c r="K19" s="14"/>
      <c r="L19" s="14"/>
      <c r="M19" s="14"/>
      <c r="N19" s="14"/>
    </row>
    <row r="20" spans="1:14" x14ac:dyDescent="0.3">
      <c r="A20">
        <v>2305534</v>
      </c>
      <c r="B20" t="s">
        <v>68</v>
      </c>
      <c r="C20" t="s">
        <v>69</v>
      </c>
      <c r="D20" s="14" t="str">
        <f t="shared" si="4"/>
        <v xml:space="preserve">melissa straw  </v>
      </c>
      <c r="E20" s="14" t="str">
        <f t="shared" si="0"/>
        <v xml:space="preserve">Melissa Straw  </v>
      </c>
      <c r="F20" s="14" t="str">
        <f t="shared" si="1"/>
        <v xml:space="preserve">MELISSA STRAW  </v>
      </c>
      <c r="G20" s="14" t="str">
        <f t="shared" si="5"/>
        <v xml:space="preserve">melissa straw  </v>
      </c>
      <c r="H20" s="14" t="str">
        <f t="shared" si="2"/>
        <v>Melissa Straw</v>
      </c>
      <c r="I20" s="14" t="str">
        <f t="shared" si="3"/>
        <v>Melissa Straw</v>
      </c>
      <c r="J20" s="14"/>
      <c r="K20" s="14"/>
      <c r="L20" s="14"/>
      <c r="M20" s="14"/>
      <c r="N20" s="14"/>
    </row>
    <row r="21" spans="1:14" x14ac:dyDescent="0.3">
      <c r="A21">
        <v>4715729</v>
      </c>
      <c r="B21" t="s">
        <v>54</v>
      </c>
      <c r="C21" t="s">
        <v>55</v>
      </c>
      <c r="D21" s="14" t="str">
        <f t="shared" si="4"/>
        <v xml:space="preserve">liz soomin  </v>
      </c>
      <c r="E21" s="14" t="str">
        <f t="shared" si="0"/>
        <v xml:space="preserve">Liz Soomin  </v>
      </c>
      <c r="F21" s="14" t="str">
        <f t="shared" si="1"/>
        <v xml:space="preserve">LIZ SOOMIN  </v>
      </c>
      <c r="G21" s="14" t="str">
        <f t="shared" si="5"/>
        <v xml:space="preserve">liz soomin  </v>
      </c>
      <c r="H21" s="14" t="str">
        <f t="shared" si="2"/>
        <v>Liz Soomin</v>
      </c>
      <c r="I21" s="14" t="str">
        <f t="shared" si="3"/>
        <v>Liz Soomin</v>
      </c>
      <c r="J21" s="14"/>
      <c r="K21" s="14"/>
      <c r="L21" s="14"/>
      <c r="M21" s="14"/>
      <c r="N21" s="14"/>
    </row>
    <row r="22" spans="1:14" x14ac:dyDescent="0.3">
      <c r="A22">
        <v>1524312</v>
      </c>
      <c r="B22" t="s">
        <v>54</v>
      </c>
      <c r="C22" t="s">
        <v>55</v>
      </c>
      <c r="D22" s="14" t="str">
        <f t="shared" si="4"/>
        <v xml:space="preserve">liz soomin  </v>
      </c>
      <c r="E22" s="14" t="str">
        <f t="shared" si="0"/>
        <v xml:space="preserve">Liz Soomin  </v>
      </c>
      <c r="F22" s="14" t="str">
        <f t="shared" si="1"/>
        <v xml:space="preserve">LIZ SOOMIN  </v>
      </c>
      <c r="G22" s="14" t="str">
        <f t="shared" si="5"/>
        <v xml:space="preserve">liz soomin  </v>
      </c>
      <c r="H22" s="14" t="str">
        <f t="shared" si="2"/>
        <v>Liz Soomin</v>
      </c>
      <c r="I22" s="14" t="str">
        <f t="shared" si="3"/>
        <v>Liz Soomin</v>
      </c>
      <c r="J22" s="14"/>
      <c r="K22" s="14"/>
      <c r="L22" s="14"/>
      <c r="M22" s="14"/>
      <c r="N22" s="14"/>
    </row>
    <row r="23" spans="1:14" x14ac:dyDescent="0.3">
      <c r="A23">
        <v>2054543</v>
      </c>
      <c r="B23" t="s">
        <v>70</v>
      </c>
      <c r="C23" t="s">
        <v>71</v>
      </c>
      <c r="D23" s="14" t="str">
        <f t="shared" si="4"/>
        <v xml:space="preserve">james grau  </v>
      </c>
      <c r="E23" s="14" t="str">
        <f t="shared" si="0"/>
        <v xml:space="preserve">James Grau  </v>
      </c>
      <c r="F23" s="14" t="str">
        <f t="shared" si="1"/>
        <v xml:space="preserve">JAMES GRAU  </v>
      </c>
      <c r="G23" s="14" t="str">
        <f t="shared" si="5"/>
        <v xml:space="preserve">james grau  </v>
      </c>
      <c r="H23" s="14" t="str">
        <f t="shared" si="2"/>
        <v>James Grau</v>
      </c>
      <c r="I23" s="14" t="str">
        <f t="shared" si="3"/>
        <v>James Grau</v>
      </c>
      <c r="J23" s="14"/>
      <c r="K23" s="14"/>
      <c r="L23" s="14"/>
      <c r="M23" s="14"/>
      <c r="N23" s="14"/>
    </row>
    <row r="24" spans="1:14" x14ac:dyDescent="0.3">
      <c r="A24">
        <v>2834831</v>
      </c>
      <c r="B24" t="s">
        <v>72</v>
      </c>
      <c r="C24" t="s">
        <v>73</v>
      </c>
      <c r="D24" s="14" t="str">
        <f t="shared" si="4"/>
        <v xml:space="preserve">jack sparrow  </v>
      </c>
      <c r="E24" s="14" t="str">
        <f t="shared" si="0"/>
        <v xml:space="preserve">Jack Sparrow  </v>
      </c>
      <c r="F24" s="14" t="str">
        <f t="shared" si="1"/>
        <v xml:space="preserve">JACK SPARROW  </v>
      </c>
      <c r="G24" s="14" t="str">
        <f t="shared" si="5"/>
        <v xml:space="preserve">jack sparrow  </v>
      </c>
      <c r="H24" s="14" t="str">
        <f t="shared" si="2"/>
        <v>Jack Sparrow</v>
      </c>
      <c r="I24" s="14" t="str">
        <f t="shared" si="3"/>
        <v>Jack Sparrow</v>
      </c>
      <c r="J24" s="14"/>
      <c r="K24" s="14"/>
      <c r="L24" s="14"/>
      <c r="M24" s="14"/>
      <c r="N24" s="14"/>
    </row>
    <row r="25" spans="1:14" x14ac:dyDescent="0.3">
      <c r="A25">
        <v>1524437</v>
      </c>
      <c r="B25" t="s">
        <v>70</v>
      </c>
      <c r="C25" t="s">
        <v>71</v>
      </c>
      <c r="D25" s="14" t="str">
        <f t="shared" si="4"/>
        <v xml:space="preserve">james grau  </v>
      </c>
      <c r="E25" s="14" t="str">
        <f t="shared" si="0"/>
        <v xml:space="preserve">James Grau  </v>
      </c>
      <c r="F25" s="14" t="str">
        <f t="shared" si="1"/>
        <v xml:space="preserve">JAMES GRAU  </v>
      </c>
      <c r="G25" s="14" t="str">
        <f t="shared" si="5"/>
        <v xml:space="preserve">james grau  </v>
      </c>
      <c r="H25" s="14" t="str">
        <f t="shared" si="2"/>
        <v>James Grau</v>
      </c>
      <c r="I25" s="14" t="str">
        <f t="shared" si="3"/>
        <v>James Grau</v>
      </c>
      <c r="J25" s="14"/>
      <c r="K25" s="14"/>
      <c r="L25" s="14"/>
      <c r="M25" s="14"/>
      <c r="N25" s="14"/>
    </row>
    <row r="26" spans="1:14" x14ac:dyDescent="0.3">
      <c r="A26">
        <v>1164865</v>
      </c>
      <c r="B26" t="s">
        <v>74</v>
      </c>
      <c r="C26" t="s">
        <v>75</v>
      </c>
      <c r="D26" s="14" t="str">
        <f t="shared" si="4"/>
        <v xml:space="preserve">erin monteiro  </v>
      </c>
      <c r="E26" s="14" t="str">
        <f t="shared" si="0"/>
        <v xml:space="preserve">Erin Monteiro  </v>
      </c>
      <c r="F26" s="14" t="str">
        <f t="shared" si="1"/>
        <v xml:space="preserve">ERIN MONTEIRO  </v>
      </c>
      <c r="G26" s="14" t="str">
        <f t="shared" si="5"/>
        <v xml:space="preserve">erin monteiro  </v>
      </c>
      <c r="H26" s="14" t="str">
        <f t="shared" si="2"/>
        <v>Erin Monteiro</v>
      </c>
      <c r="I26" s="14" t="str">
        <f t="shared" si="3"/>
        <v>Erin Monteiro</v>
      </c>
      <c r="J26" s="14"/>
      <c r="K26" s="14"/>
      <c r="L26" s="14"/>
      <c r="M26" s="14"/>
      <c r="N26" s="14"/>
    </row>
    <row r="27" spans="1:14" x14ac:dyDescent="0.3">
      <c r="A27">
        <v>9905461</v>
      </c>
      <c r="B27" t="s">
        <v>74</v>
      </c>
      <c r="C27" t="s">
        <v>75</v>
      </c>
      <c r="D27" s="14" t="str">
        <f t="shared" si="4"/>
        <v xml:space="preserve">erin monteiro  </v>
      </c>
      <c r="E27" s="14" t="str">
        <f t="shared" si="0"/>
        <v xml:space="preserve">Erin Monteiro  </v>
      </c>
      <c r="F27" s="14" t="str">
        <f t="shared" si="1"/>
        <v xml:space="preserve">ERIN MONTEIRO  </v>
      </c>
      <c r="G27" s="14" t="str">
        <f t="shared" si="5"/>
        <v xml:space="preserve">erin monteiro  </v>
      </c>
      <c r="H27" s="14" t="str">
        <f t="shared" si="2"/>
        <v>Erin Monteiro</v>
      </c>
      <c r="I27" s="14" t="str">
        <f t="shared" si="3"/>
        <v>Erin Monteiro</v>
      </c>
      <c r="J27" s="14"/>
      <c r="K27" s="14"/>
      <c r="L27" s="14"/>
      <c r="M27" s="14"/>
      <c r="N27" s="14"/>
    </row>
    <row r="28" spans="1:14" x14ac:dyDescent="0.3">
      <c r="A28">
        <v>2955104</v>
      </c>
      <c r="B28" t="s">
        <v>76</v>
      </c>
      <c r="C28" t="s">
        <v>77</v>
      </c>
      <c r="D28" s="14" t="str">
        <f t="shared" si="4"/>
        <v xml:space="preserve">shaun yowie  </v>
      </c>
      <c r="E28" s="14" t="str">
        <f t="shared" si="0"/>
        <v xml:space="preserve">Shaun Yowie  </v>
      </c>
      <c r="F28" s="14" t="str">
        <f t="shared" si="1"/>
        <v xml:space="preserve">SHAUN YOWIE  </v>
      </c>
      <c r="G28" s="14" t="str">
        <f t="shared" si="5"/>
        <v xml:space="preserve">shaun yowie  </v>
      </c>
      <c r="H28" s="14" t="str">
        <f t="shared" si="2"/>
        <v>Shaun Yowie</v>
      </c>
      <c r="I28" s="14" t="str">
        <f t="shared" si="3"/>
        <v>Shaun Yowie</v>
      </c>
      <c r="J28" s="14"/>
      <c r="K28" s="14"/>
      <c r="L28" s="14"/>
      <c r="M28" s="14"/>
      <c r="N28" s="14"/>
    </row>
    <row r="29" spans="1:14" x14ac:dyDescent="0.3">
      <c r="A29">
        <v>2499739</v>
      </c>
      <c r="B29" t="s">
        <v>56</v>
      </c>
      <c r="C29" t="s">
        <v>57</v>
      </c>
      <c r="D29" s="14" t="str">
        <f t="shared" si="4"/>
        <v xml:space="preserve">phil kane  </v>
      </c>
      <c r="E29" s="14" t="str">
        <f t="shared" si="0"/>
        <v xml:space="preserve">Phil Kane  </v>
      </c>
      <c r="F29" s="14" t="str">
        <f t="shared" si="1"/>
        <v xml:space="preserve">PHIL KANE  </v>
      </c>
      <c r="G29" s="14" t="str">
        <f t="shared" si="5"/>
        <v xml:space="preserve">phil kane  </v>
      </c>
      <c r="H29" s="14" t="str">
        <f t="shared" si="2"/>
        <v>Phil Kane</v>
      </c>
      <c r="I29" s="14" t="str">
        <f t="shared" si="3"/>
        <v>Phil Kane</v>
      </c>
      <c r="J29" s="14"/>
      <c r="K29" s="14"/>
      <c r="L29" s="14"/>
      <c r="M29" s="14"/>
      <c r="N29" s="14"/>
    </row>
    <row r="30" spans="1:14" x14ac:dyDescent="0.3">
      <c r="A30">
        <v>1891779</v>
      </c>
      <c r="B30" t="s">
        <v>62</v>
      </c>
      <c r="C30" t="s">
        <v>63</v>
      </c>
      <c r="D30" s="14" t="str">
        <f t="shared" si="4"/>
        <v xml:space="preserve">daniel gulady  </v>
      </c>
      <c r="E30" s="14" t="str">
        <f t="shared" si="0"/>
        <v xml:space="preserve">Daniel Gulady  </v>
      </c>
      <c r="F30" s="14" t="str">
        <f t="shared" si="1"/>
        <v xml:space="preserve">DANIEL GULADY  </v>
      </c>
      <c r="G30" s="14" t="str">
        <f t="shared" si="5"/>
        <v xml:space="preserve">daniel gulady  </v>
      </c>
      <c r="H30" s="14" t="str">
        <f t="shared" si="2"/>
        <v>Daniel Gulady</v>
      </c>
      <c r="I30" s="14" t="str">
        <f t="shared" si="3"/>
        <v>Daniel Gulady</v>
      </c>
      <c r="J30" s="14"/>
      <c r="K30" s="14"/>
      <c r="L30" s="14"/>
      <c r="M30" s="14"/>
      <c r="N30" s="14"/>
    </row>
    <row r="31" spans="1:14" x14ac:dyDescent="0.3">
      <c r="A31">
        <v>4352798</v>
      </c>
      <c r="B31" t="s">
        <v>78</v>
      </c>
      <c r="C31" t="s">
        <v>79</v>
      </c>
      <c r="D31" s="14" t="str">
        <f t="shared" si="4"/>
        <v xml:space="preserve">evelyn walters  </v>
      </c>
      <c r="E31" s="14" t="str">
        <f t="shared" si="0"/>
        <v xml:space="preserve">Evelyn Walters  </v>
      </c>
      <c r="F31" s="14" t="str">
        <f t="shared" si="1"/>
        <v xml:space="preserve">EVELYN WALTERS  </v>
      </c>
      <c r="G31" s="14" t="str">
        <f t="shared" si="5"/>
        <v xml:space="preserve">evelyn walters  </v>
      </c>
      <c r="H31" s="14" t="str">
        <f t="shared" si="2"/>
        <v>Evelyn Walters</v>
      </c>
      <c r="I31" s="14" t="str">
        <f t="shared" si="3"/>
        <v>Evelyn Walters</v>
      </c>
      <c r="J31" s="14"/>
      <c r="K31" s="14"/>
      <c r="L31" s="14"/>
      <c r="M31" s="14"/>
      <c r="N31" s="14"/>
    </row>
    <row r="32" spans="1:14" x14ac:dyDescent="0.3">
      <c r="A32">
        <v>5231457</v>
      </c>
      <c r="B32" t="s">
        <v>72</v>
      </c>
      <c r="C32" t="s">
        <v>73</v>
      </c>
      <c r="D32" s="14" t="str">
        <f t="shared" si="4"/>
        <v xml:space="preserve">jack sparrow  </v>
      </c>
      <c r="E32" s="14" t="str">
        <f t="shared" si="0"/>
        <v xml:space="preserve">Jack Sparrow  </v>
      </c>
      <c r="F32" s="14" t="str">
        <f t="shared" si="1"/>
        <v xml:space="preserve">JACK SPARROW  </v>
      </c>
      <c r="G32" s="14" t="str">
        <f t="shared" si="5"/>
        <v xml:space="preserve">jack sparrow  </v>
      </c>
      <c r="H32" s="14" t="str">
        <f t="shared" si="2"/>
        <v>Jack Sparrow</v>
      </c>
      <c r="I32" s="14" t="str">
        <f t="shared" si="3"/>
        <v>Jack Sparrow</v>
      </c>
      <c r="J32" s="14"/>
      <c r="K32" s="14"/>
      <c r="L32" s="14"/>
      <c r="M32" s="14"/>
      <c r="N32" s="14"/>
    </row>
    <row r="33" spans="1:14" x14ac:dyDescent="0.3">
      <c r="A33">
        <v>7825378</v>
      </c>
      <c r="B33" t="s">
        <v>50</v>
      </c>
      <c r="C33" t="s">
        <v>51</v>
      </c>
      <c r="D33" s="14" t="str">
        <f t="shared" si="4"/>
        <v xml:space="preserve">ana nacho  </v>
      </c>
      <c r="E33" s="14" t="str">
        <f t="shared" si="0"/>
        <v xml:space="preserve">Ana Nacho  </v>
      </c>
      <c r="F33" s="14" t="str">
        <f t="shared" si="1"/>
        <v xml:space="preserve">ANA NACHO  </v>
      </c>
      <c r="G33" s="14" t="str">
        <f t="shared" si="5"/>
        <v xml:space="preserve">ana nacho  </v>
      </c>
      <c r="H33" s="14" t="str">
        <f t="shared" si="2"/>
        <v>Ana Nacho</v>
      </c>
      <c r="I33" s="14" t="str">
        <f t="shared" si="3"/>
        <v>Ana Nacho</v>
      </c>
      <c r="J33" s="14"/>
      <c r="K33" s="14"/>
      <c r="L33" s="14"/>
      <c r="M33" s="14"/>
      <c r="N33" s="14"/>
    </row>
    <row r="34" spans="1:14" x14ac:dyDescent="0.3">
      <c r="A34">
        <v>6750489</v>
      </c>
      <c r="B34" t="s">
        <v>76</v>
      </c>
      <c r="C34" t="s">
        <v>77</v>
      </c>
      <c r="D34" s="14" t="str">
        <f t="shared" si="4"/>
        <v xml:space="preserve">shaun yowie  </v>
      </c>
      <c r="E34" s="14" t="str">
        <f t="shared" si="0"/>
        <v xml:space="preserve">Shaun Yowie  </v>
      </c>
      <c r="F34" s="14" t="str">
        <f t="shared" si="1"/>
        <v xml:space="preserve">SHAUN YOWIE  </v>
      </c>
      <c r="G34" s="14" t="str">
        <f t="shared" si="5"/>
        <v xml:space="preserve">shaun yowie  </v>
      </c>
      <c r="H34" s="14" t="str">
        <f t="shared" si="2"/>
        <v>Shaun Yowie</v>
      </c>
      <c r="I34" s="14" t="str">
        <f t="shared" si="3"/>
        <v>Shaun Yowie</v>
      </c>
      <c r="J34" s="14"/>
      <c r="K34" s="14"/>
      <c r="L34" s="14"/>
      <c r="M34" s="14"/>
      <c r="N34" s="14"/>
    </row>
    <row r="35" spans="1:14" x14ac:dyDescent="0.3">
      <c r="A35">
        <v>9146503</v>
      </c>
      <c r="B35" t="s">
        <v>80</v>
      </c>
      <c r="C35" t="s">
        <v>81</v>
      </c>
      <c r="D35" s="14" t="str">
        <f t="shared" si="4"/>
        <v xml:space="preserve">susan loon  </v>
      </c>
      <c r="E35" s="14" t="str">
        <f t="shared" si="0"/>
        <v xml:space="preserve">Susan Loon  </v>
      </c>
      <c r="F35" s="14" t="str">
        <f t="shared" si="1"/>
        <v xml:space="preserve">SUSAN LOON  </v>
      </c>
      <c r="G35" s="14" t="str">
        <f t="shared" si="5"/>
        <v xml:space="preserve">susan loon  </v>
      </c>
      <c r="H35" s="14" t="str">
        <f t="shared" si="2"/>
        <v>Susan Loon</v>
      </c>
      <c r="I35" s="14" t="str">
        <f t="shared" si="3"/>
        <v>Susan Loon</v>
      </c>
      <c r="J35" s="14"/>
      <c r="K35" s="14"/>
      <c r="L35" s="14"/>
      <c r="M35" s="14"/>
      <c r="N35" s="14"/>
    </row>
    <row r="36" spans="1:14" x14ac:dyDescent="0.3">
      <c r="A36">
        <v>2745927</v>
      </c>
      <c r="B36" t="s">
        <v>64</v>
      </c>
      <c r="C36" t="s">
        <v>65</v>
      </c>
      <c r="D36" s="14" t="str">
        <f t="shared" si="4"/>
        <v xml:space="preserve">helen bison  </v>
      </c>
      <c r="E36" s="14" t="str">
        <f t="shared" si="0"/>
        <v xml:space="preserve">Helen Bison  </v>
      </c>
      <c r="F36" s="14" t="str">
        <f t="shared" si="1"/>
        <v xml:space="preserve">HELEN BISON  </v>
      </c>
      <c r="G36" s="14" t="str">
        <f t="shared" si="5"/>
        <v xml:space="preserve">helen bison  </v>
      </c>
      <c r="H36" s="14" t="str">
        <f t="shared" si="2"/>
        <v>Helen Bison</v>
      </c>
      <c r="I36" s="14" t="str">
        <f t="shared" si="3"/>
        <v>Helen Bison</v>
      </c>
      <c r="J36" s="14"/>
      <c r="K36" s="14"/>
      <c r="L36" s="14"/>
      <c r="M36" s="14"/>
      <c r="N36" s="14"/>
    </row>
    <row r="37" spans="1:14" x14ac:dyDescent="0.3">
      <c r="A37">
        <v>2468815</v>
      </c>
      <c r="B37" t="s">
        <v>62</v>
      </c>
      <c r="C37" t="s">
        <v>63</v>
      </c>
      <c r="D37" s="14" t="str">
        <f t="shared" si="4"/>
        <v xml:space="preserve">daniel gulady  </v>
      </c>
      <c r="E37" s="14" t="str">
        <f t="shared" si="0"/>
        <v xml:space="preserve">Daniel Gulady  </v>
      </c>
      <c r="F37" s="14" t="str">
        <f t="shared" si="1"/>
        <v xml:space="preserve">DANIEL GULADY  </v>
      </c>
      <c r="G37" s="14" t="str">
        <f t="shared" si="5"/>
        <v xml:space="preserve">daniel gulady  </v>
      </c>
      <c r="H37" s="14" t="str">
        <f t="shared" si="2"/>
        <v>Daniel Gulady</v>
      </c>
      <c r="I37" s="14" t="str">
        <f t="shared" si="3"/>
        <v>Daniel Gulady</v>
      </c>
      <c r="J37" s="14"/>
      <c r="K37" s="14"/>
      <c r="L37" s="14"/>
      <c r="M37" s="14"/>
      <c r="N37" s="14"/>
    </row>
    <row r="38" spans="1:14" x14ac:dyDescent="0.3">
      <c r="A38">
        <v>1644724</v>
      </c>
      <c r="B38" t="s">
        <v>64</v>
      </c>
      <c r="C38" t="s">
        <v>65</v>
      </c>
      <c r="D38" s="14" t="str">
        <f t="shared" ref="D38:D69" si="6">CONCATENATE(C38,B38)</f>
        <v xml:space="preserve">helen bison  </v>
      </c>
      <c r="E38" s="14" t="str">
        <f t="shared" ref="E38:E69" si="7">PROPER(D38)</f>
        <v xml:space="preserve">Helen Bison  </v>
      </c>
      <c r="F38" s="14" t="str">
        <f t="shared" ref="F38:F69" si="8">UPPER(E38)</f>
        <v xml:space="preserve">HELEN BISON  </v>
      </c>
      <c r="G38" s="14" t="str">
        <f t="shared" ref="G38:G69" si="9">LOWER(D38)</f>
        <v xml:space="preserve">helen bison  </v>
      </c>
      <c r="H38" s="14" t="str">
        <f t="shared" ref="H38:H69" si="10">TRIM(E38)</f>
        <v>Helen Bison</v>
      </c>
      <c r="I38" s="14" t="str">
        <f t="shared" ref="I38:I69" si="11">TRIM(PROPER(CONCATENATE(C38," ",B38)))</f>
        <v>Helen Bison</v>
      </c>
      <c r="J38" s="14"/>
      <c r="K38" s="14"/>
      <c r="L38" s="14"/>
      <c r="M38" s="14"/>
      <c r="N38" s="14"/>
    </row>
    <row r="39" spans="1:14" x14ac:dyDescent="0.3">
      <c r="A39">
        <v>3945458</v>
      </c>
      <c r="B39" t="s">
        <v>50</v>
      </c>
      <c r="C39" t="s">
        <v>51</v>
      </c>
      <c r="D39" s="14" t="str">
        <f t="shared" si="6"/>
        <v xml:space="preserve">ana nacho  </v>
      </c>
      <c r="E39" s="14" t="str">
        <f t="shared" si="7"/>
        <v xml:space="preserve">Ana Nacho  </v>
      </c>
      <c r="F39" s="14" t="str">
        <f t="shared" si="8"/>
        <v xml:space="preserve">ANA NACHO  </v>
      </c>
      <c r="G39" s="14" t="str">
        <f t="shared" si="9"/>
        <v xml:space="preserve">ana nacho  </v>
      </c>
      <c r="H39" s="14" t="str">
        <f t="shared" si="10"/>
        <v>Ana Nacho</v>
      </c>
      <c r="I39" s="14" t="str">
        <f t="shared" si="11"/>
        <v>Ana Nacho</v>
      </c>
      <c r="J39" s="14"/>
      <c r="K39" s="14"/>
      <c r="L39" s="14"/>
      <c r="M39" s="14"/>
      <c r="N39" s="14"/>
    </row>
    <row r="40" spans="1:14" x14ac:dyDescent="0.3">
      <c r="A40">
        <v>8294607</v>
      </c>
      <c r="B40" t="s">
        <v>82</v>
      </c>
      <c r="C40" t="s">
        <v>83</v>
      </c>
      <c r="D40" s="14" t="str">
        <f t="shared" si="6"/>
        <v xml:space="preserve">jenny furlong  </v>
      </c>
      <c r="E40" s="14" t="str">
        <f t="shared" si="7"/>
        <v xml:space="preserve">Jenny Furlong  </v>
      </c>
      <c r="F40" s="14" t="str">
        <f t="shared" si="8"/>
        <v xml:space="preserve">JENNY FURLONG  </v>
      </c>
      <c r="G40" s="14" t="str">
        <f t="shared" si="9"/>
        <v xml:space="preserve">jenny furlong  </v>
      </c>
      <c r="H40" s="14" t="str">
        <f t="shared" si="10"/>
        <v>Jenny Furlong</v>
      </c>
      <c r="I40" s="14" t="str">
        <f t="shared" si="11"/>
        <v>Jenny Furlong</v>
      </c>
      <c r="J40" s="14"/>
      <c r="K40" s="14"/>
      <c r="L40" s="14"/>
      <c r="M40" s="14"/>
      <c r="N40" s="14"/>
    </row>
    <row r="41" spans="1:14" x14ac:dyDescent="0.3">
      <c r="A41">
        <v>4926793</v>
      </c>
      <c r="B41" t="s">
        <v>56</v>
      </c>
      <c r="C41" t="s">
        <v>57</v>
      </c>
      <c r="D41" s="14" t="str">
        <f t="shared" si="6"/>
        <v xml:space="preserve">phil kane  </v>
      </c>
      <c r="E41" s="14" t="str">
        <f t="shared" si="7"/>
        <v xml:space="preserve">Phil Kane  </v>
      </c>
      <c r="F41" s="14" t="str">
        <f t="shared" si="8"/>
        <v xml:space="preserve">PHIL KANE  </v>
      </c>
      <c r="G41" s="14" t="str">
        <f t="shared" si="9"/>
        <v xml:space="preserve">phil kane  </v>
      </c>
      <c r="H41" s="14" t="str">
        <f t="shared" si="10"/>
        <v>Phil Kane</v>
      </c>
      <c r="I41" s="14" t="str">
        <f t="shared" si="11"/>
        <v>Phil Kane</v>
      </c>
      <c r="J41" s="14"/>
      <c r="K41" s="14"/>
      <c r="L41" s="14"/>
      <c r="M41" s="14"/>
      <c r="N41" s="14"/>
    </row>
    <row r="42" spans="1:14" x14ac:dyDescent="0.3">
      <c r="A42">
        <v>2076527</v>
      </c>
      <c r="B42" t="s">
        <v>82</v>
      </c>
      <c r="C42" t="s">
        <v>83</v>
      </c>
      <c r="D42" s="14" t="str">
        <f t="shared" si="6"/>
        <v xml:space="preserve">jenny furlong  </v>
      </c>
      <c r="E42" s="14" t="str">
        <f t="shared" si="7"/>
        <v xml:space="preserve">Jenny Furlong  </v>
      </c>
      <c r="F42" s="14" t="str">
        <f t="shared" si="8"/>
        <v xml:space="preserve">JENNY FURLONG  </v>
      </c>
      <c r="G42" s="14" t="str">
        <f t="shared" si="9"/>
        <v xml:space="preserve">jenny furlong  </v>
      </c>
      <c r="H42" s="14" t="str">
        <f t="shared" si="10"/>
        <v>Jenny Furlong</v>
      </c>
      <c r="I42" s="14" t="str">
        <f t="shared" si="11"/>
        <v>Jenny Furlong</v>
      </c>
      <c r="J42" s="14"/>
      <c r="K42" s="14"/>
      <c r="L42" s="14"/>
      <c r="M42" s="14"/>
      <c r="N42" s="14"/>
    </row>
    <row r="43" spans="1:14" x14ac:dyDescent="0.3">
      <c r="A43">
        <v>3842892</v>
      </c>
      <c r="B43" t="s">
        <v>50</v>
      </c>
      <c r="C43" t="s">
        <v>51</v>
      </c>
      <c r="D43" s="14" t="str">
        <f t="shared" si="6"/>
        <v xml:space="preserve">ana nacho  </v>
      </c>
      <c r="E43" s="14" t="str">
        <f t="shared" si="7"/>
        <v xml:space="preserve">Ana Nacho  </v>
      </c>
      <c r="F43" s="14" t="str">
        <f t="shared" si="8"/>
        <v xml:space="preserve">ANA NACHO  </v>
      </c>
      <c r="G43" s="14" t="str">
        <f t="shared" si="9"/>
        <v xml:space="preserve">ana nacho  </v>
      </c>
      <c r="H43" s="14" t="str">
        <f t="shared" si="10"/>
        <v>Ana Nacho</v>
      </c>
      <c r="I43" s="14" t="str">
        <f t="shared" si="11"/>
        <v>Ana Nacho</v>
      </c>
      <c r="J43" s="14"/>
      <c r="K43" s="14"/>
      <c r="L43" s="14"/>
      <c r="M43" s="14"/>
      <c r="N43" s="14"/>
    </row>
    <row r="44" spans="1:14" x14ac:dyDescent="0.3">
      <c r="A44">
        <v>4528783</v>
      </c>
      <c r="B44" t="s">
        <v>72</v>
      </c>
      <c r="C44" t="s">
        <v>73</v>
      </c>
      <c r="D44" s="14" t="str">
        <f t="shared" si="6"/>
        <v xml:space="preserve">jack sparrow  </v>
      </c>
      <c r="E44" s="14" t="str">
        <f t="shared" si="7"/>
        <v xml:space="preserve">Jack Sparrow  </v>
      </c>
      <c r="F44" s="14" t="str">
        <f t="shared" si="8"/>
        <v xml:space="preserve">JACK SPARROW  </v>
      </c>
      <c r="G44" s="14" t="str">
        <f t="shared" si="9"/>
        <v xml:space="preserve">jack sparrow  </v>
      </c>
      <c r="H44" s="14" t="str">
        <f t="shared" si="10"/>
        <v>Jack Sparrow</v>
      </c>
      <c r="I44" s="14" t="str">
        <f t="shared" si="11"/>
        <v>Jack Sparrow</v>
      </c>
      <c r="J44" s="14"/>
      <c r="K44" s="14"/>
      <c r="L44" s="14"/>
      <c r="M44" s="14"/>
      <c r="N44" s="14"/>
    </row>
    <row r="45" spans="1:14" x14ac:dyDescent="0.3">
      <c r="A45">
        <v>5284006</v>
      </c>
      <c r="B45" t="s">
        <v>64</v>
      </c>
      <c r="C45" t="s">
        <v>65</v>
      </c>
      <c r="D45" s="14" t="str">
        <f t="shared" si="6"/>
        <v xml:space="preserve">helen bison  </v>
      </c>
      <c r="E45" s="14" t="str">
        <f t="shared" si="7"/>
        <v xml:space="preserve">Helen Bison  </v>
      </c>
      <c r="F45" s="14" t="str">
        <f t="shared" si="8"/>
        <v xml:space="preserve">HELEN BISON  </v>
      </c>
      <c r="G45" s="14" t="str">
        <f t="shared" si="9"/>
        <v xml:space="preserve">helen bison  </v>
      </c>
      <c r="H45" s="14" t="str">
        <f t="shared" si="10"/>
        <v>Helen Bison</v>
      </c>
      <c r="I45" s="14" t="str">
        <f t="shared" si="11"/>
        <v>Helen Bison</v>
      </c>
      <c r="J45" s="14"/>
      <c r="K45" s="14"/>
      <c r="L45" s="14"/>
      <c r="M45" s="14"/>
      <c r="N45" s="14"/>
    </row>
    <row r="46" spans="1:14" x14ac:dyDescent="0.3">
      <c r="A46">
        <v>9737702</v>
      </c>
      <c r="B46" t="s">
        <v>56</v>
      </c>
      <c r="C46" t="s">
        <v>57</v>
      </c>
      <c r="D46" s="14" t="str">
        <f t="shared" si="6"/>
        <v xml:space="preserve">phil kane  </v>
      </c>
      <c r="E46" s="14" t="str">
        <f t="shared" si="7"/>
        <v xml:space="preserve">Phil Kane  </v>
      </c>
      <c r="F46" s="14" t="str">
        <f t="shared" si="8"/>
        <v xml:space="preserve">PHIL KANE  </v>
      </c>
      <c r="G46" s="14" t="str">
        <f t="shared" si="9"/>
        <v xml:space="preserve">phil kane  </v>
      </c>
      <c r="H46" s="14" t="str">
        <f t="shared" si="10"/>
        <v>Phil Kane</v>
      </c>
      <c r="I46" s="14" t="str">
        <f t="shared" si="11"/>
        <v>Phil Kane</v>
      </c>
      <c r="J46" s="14"/>
      <c r="K46" s="14"/>
      <c r="L46" s="14"/>
      <c r="M46" s="14"/>
      <c r="N46" s="14"/>
    </row>
    <row r="47" spans="1:14" x14ac:dyDescent="0.3">
      <c r="A47">
        <v>4176029</v>
      </c>
      <c r="B47" t="s">
        <v>68</v>
      </c>
      <c r="C47" t="s">
        <v>69</v>
      </c>
      <c r="D47" s="14" t="str">
        <f t="shared" si="6"/>
        <v xml:space="preserve">melissa straw  </v>
      </c>
      <c r="E47" s="14" t="str">
        <f t="shared" si="7"/>
        <v xml:space="preserve">Melissa Straw  </v>
      </c>
      <c r="F47" s="14" t="str">
        <f t="shared" si="8"/>
        <v xml:space="preserve">MELISSA STRAW  </v>
      </c>
      <c r="G47" s="14" t="str">
        <f t="shared" si="9"/>
        <v xml:space="preserve">melissa straw  </v>
      </c>
      <c r="H47" s="14" t="str">
        <f t="shared" si="10"/>
        <v>Melissa Straw</v>
      </c>
      <c r="I47" s="14" t="str">
        <f t="shared" si="11"/>
        <v>Melissa Straw</v>
      </c>
      <c r="J47" s="14"/>
      <c r="K47" s="14"/>
      <c r="L47" s="14"/>
      <c r="M47" s="14"/>
      <c r="N47" s="14"/>
    </row>
    <row r="48" spans="1:14" x14ac:dyDescent="0.3">
      <c r="A48">
        <v>4221926</v>
      </c>
      <c r="B48" t="s">
        <v>50</v>
      </c>
      <c r="C48" t="s">
        <v>51</v>
      </c>
      <c r="D48" s="14" t="str">
        <f t="shared" si="6"/>
        <v xml:space="preserve">ana nacho  </v>
      </c>
      <c r="E48" s="14" t="str">
        <f t="shared" si="7"/>
        <v xml:space="preserve">Ana Nacho  </v>
      </c>
      <c r="F48" s="14" t="str">
        <f t="shared" si="8"/>
        <v xml:space="preserve">ANA NACHO  </v>
      </c>
      <c r="G48" s="14" t="str">
        <f t="shared" si="9"/>
        <v xml:space="preserve">ana nacho  </v>
      </c>
      <c r="H48" s="14" t="str">
        <f t="shared" si="10"/>
        <v>Ana Nacho</v>
      </c>
      <c r="I48" s="14" t="str">
        <f t="shared" si="11"/>
        <v>Ana Nacho</v>
      </c>
      <c r="J48" s="14"/>
      <c r="K48" s="14"/>
      <c r="L48" s="14"/>
      <c r="M48" s="14"/>
      <c r="N48" s="14"/>
    </row>
    <row r="49" spans="1:14" x14ac:dyDescent="0.3">
      <c r="A49">
        <v>6577765</v>
      </c>
      <c r="B49" t="s">
        <v>84</v>
      </c>
      <c r="C49" t="s">
        <v>85</v>
      </c>
      <c r="D49" s="14" t="str">
        <f t="shared" si="6"/>
        <v xml:space="preserve">unlimited learning  </v>
      </c>
      <c r="E49" s="14" t="str">
        <f t="shared" si="7"/>
        <v xml:space="preserve">Unlimited Learning  </v>
      </c>
      <c r="F49" s="14" t="str">
        <f t="shared" si="8"/>
        <v xml:space="preserve">UNLIMITED LEARNING  </v>
      </c>
      <c r="G49" s="14" t="str">
        <f t="shared" si="9"/>
        <v xml:space="preserve">unlimited learning  </v>
      </c>
      <c r="H49" s="14" t="str">
        <f t="shared" si="10"/>
        <v>Unlimited Learning</v>
      </c>
      <c r="I49" s="14" t="str">
        <f t="shared" si="11"/>
        <v>Unlimited Learning</v>
      </c>
      <c r="J49" s="14"/>
      <c r="K49" s="14"/>
      <c r="L49" s="14"/>
      <c r="M49" s="14"/>
      <c r="N49" s="14"/>
    </row>
    <row r="50" spans="1:14" x14ac:dyDescent="0.3">
      <c r="A50">
        <v>4522297</v>
      </c>
      <c r="B50" t="s">
        <v>84</v>
      </c>
      <c r="C50" t="s">
        <v>85</v>
      </c>
      <c r="D50" s="14" t="str">
        <f t="shared" si="6"/>
        <v xml:space="preserve">unlimited learning  </v>
      </c>
      <c r="E50" s="14" t="str">
        <f t="shared" si="7"/>
        <v xml:space="preserve">Unlimited Learning  </v>
      </c>
      <c r="F50" s="14" t="str">
        <f t="shared" si="8"/>
        <v xml:space="preserve">UNLIMITED LEARNING  </v>
      </c>
      <c r="G50" s="14" t="str">
        <f t="shared" si="9"/>
        <v xml:space="preserve">unlimited learning  </v>
      </c>
      <c r="H50" s="14" t="str">
        <f t="shared" si="10"/>
        <v>Unlimited Learning</v>
      </c>
      <c r="I50" s="14" t="str">
        <f t="shared" si="11"/>
        <v>Unlimited Learning</v>
      </c>
      <c r="J50" s="14"/>
      <c r="K50" s="14"/>
      <c r="L50" s="14"/>
      <c r="M50" s="14"/>
      <c r="N50" s="14"/>
    </row>
    <row r="51" spans="1:14" x14ac:dyDescent="0.3">
      <c r="A51">
        <v>7496517</v>
      </c>
      <c r="B51" t="s">
        <v>78</v>
      </c>
      <c r="C51" t="s">
        <v>79</v>
      </c>
      <c r="D51" s="14" t="str">
        <f t="shared" si="6"/>
        <v xml:space="preserve">evelyn walters  </v>
      </c>
      <c r="E51" s="14" t="str">
        <f t="shared" si="7"/>
        <v xml:space="preserve">Evelyn Walters  </v>
      </c>
      <c r="F51" s="14" t="str">
        <f t="shared" si="8"/>
        <v xml:space="preserve">EVELYN WALTERS  </v>
      </c>
      <c r="G51" s="14" t="str">
        <f t="shared" si="9"/>
        <v xml:space="preserve">evelyn walters  </v>
      </c>
      <c r="H51" s="14" t="str">
        <f t="shared" si="10"/>
        <v>Evelyn Walters</v>
      </c>
      <c r="I51" s="14" t="str">
        <f t="shared" si="11"/>
        <v>Evelyn Walters</v>
      </c>
      <c r="J51" s="14"/>
      <c r="K51" s="14"/>
      <c r="L51" s="14"/>
      <c r="M51" s="14"/>
      <c r="N51" s="14"/>
    </row>
    <row r="52" spans="1:14" x14ac:dyDescent="0.3">
      <c r="A52">
        <v>1434211</v>
      </c>
      <c r="B52" t="s">
        <v>58</v>
      </c>
      <c r="C52" t="s">
        <v>59</v>
      </c>
      <c r="D52" s="14" t="str">
        <f t="shared" si="6"/>
        <v xml:space="preserve">angie lee  </v>
      </c>
      <c r="E52" s="14" t="str">
        <f t="shared" si="7"/>
        <v xml:space="preserve">Angie Lee  </v>
      </c>
      <c r="F52" s="14" t="str">
        <f t="shared" si="8"/>
        <v xml:space="preserve">ANGIE LEE  </v>
      </c>
      <c r="G52" s="14" t="str">
        <f t="shared" si="9"/>
        <v xml:space="preserve">angie lee  </v>
      </c>
      <c r="H52" s="14" t="str">
        <f t="shared" si="10"/>
        <v>Angie Lee</v>
      </c>
      <c r="I52" s="14" t="str">
        <f t="shared" si="11"/>
        <v>Angie Lee</v>
      </c>
      <c r="J52" s="14"/>
      <c r="K52" s="14"/>
      <c r="L52" s="14"/>
      <c r="M52" s="14"/>
      <c r="N52" s="14"/>
    </row>
    <row r="53" spans="1:14" x14ac:dyDescent="0.3">
      <c r="A53">
        <v>5921423</v>
      </c>
      <c r="B53" t="s">
        <v>80</v>
      </c>
      <c r="C53" t="s">
        <v>81</v>
      </c>
      <c r="D53" s="14" t="str">
        <f t="shared" si="6"/>
        <v xml:space="preserve">susan loon  </v>
      </c>
      <c r="E53" s="14" t="str">
        <f t="shared" si="7"/>
        <v xml:space="preserve">Susan Loon  </v>
      </c>
      <c r="F53" s="14" t="str">
        <f t="shared" si="8"/>
        <v xml:space="preserve">SUSAN LOON  </v>
      </c>
      <c r="G53" s="14" t="str">
        <f t="shared" si="9"/>
        <v xml:space="preserve">susan loon  </v>
      </c>
      <c r="H53" s="14" t="str">
        <f t="shared" si="10"/>
        <v>Susan Loon</v>
      </c>
      <c r="I53" s="14" t="str">
        <f t="shared" si="11"/>
        <v>Susan Loon</v>
      </c>
      <c r="J53" s="14"/>
      <c r="K53" s="14"/>
      <c r="L53" s="14"/>
      <c r="M53" s="14"/>
      <c r="N53" s="14"/>
    </row>
    <row r="54" spans="1:14" x14ac:dyDescent="0.3">
      <c r="A54">
        <v>2148040</v>
      </c>
      <c r="B54" t="s">
        <v>52</v>
      </c>
      <c r="C54" t="s">
        <v>53</v>
      </c>
      <c r="D54" s="14" t="str">
        <f t="shared" si="6"/>
        <v xml:space="preserve">john silver  </v>
      </c>
      <c r="E54" s="14" t="str">
        <f t="shared" si="7"/>
        <v xml:space="preserve">John Silver  </v>
      </c>
      <c r="F54" s="14" t="str">
        <f t="shared" si="8"/>
        <v xml:space="preserve">JOHN SILVER  </v>
      </c>
      <c r="G54" s="14" t="str">
        <f t="shared" si="9"/>
        <v xml:space="preserve">john silver  </v>
      </c>
      <c r="H54" s="14" t="str">
        <f t="shared" si="10"/>
        <v>John Silver</v>
      </c>
      <c r="I54" s="14" t="str">
        <f t="shared" si="11"/>
        <v>John Silver</v>
      </c>
      <c r="J54" s="14"/>
      <c r="K54" s="14"/>
      <c r="L54" s="14"/>
      <c r="M54" s="14"/>
      <c r="N54" s="14"/>
    </row>
    <row r="55" spans="1:14" x14ac:dyDescent="0.3">
      <c r="A55">
        <v>9254176</v>
      </c>
      <c r="B55" t="s">
        <v>66</v>
      </c>
      <c r="C55" t="s">
        <v>67</v>
      </c>
      <c r="D55" s="14" t="str">
        <f t="shared" si="6"/>
        <v xml:space="preserve">reuben long  </v>
      </c>
      <c r="E55" s="14" t="str">
        <f t="shared" si="7"/>
        <v xml:space="preserve">Reuben Long  </v>
      </c>
      <c r="F55" s="14" t="str">
        <f t="shared" si="8"/>
        <v xml:space="preserve">REUBEN LONG  </v>
      </c>
      <c r="G55" s="14" t="str">
        <f t="shared" si="9"/>
        <v xml:space="preserve">reuben long  </v>
      </c>
      <c r="H55" s="14" t="str">
        <f t="shared" si="10"/>
        <v>Reuben Long</v>
      </c>
      <c r="I55" s="14" t="str">
        <f t="shared" si="11"/>
        <v>Reuben Long</v>
      </c>
      <c r="J55" s="14"/>
      <c r="K55" s="14"/>
      <c r="L55" s="14"/>
      <c r="M55" s="14"/>
      <c r="N55" s="14"/>
    </row>
    <row r="56" spans="1:14" x14ac:dyDescent="0.3">
      <c r="A56">
        <v>9991644</v>
      </c>
      <c r="B56" t="s">
        <v>58</v>
      </c>
      <c r="C56" t="s">
        <v>59</v>
      </c>
      <c r="D56" s="14" t="str">
        <f t="shared" si="6"/>
        <v xml:space="preserve">angie lee  </v>
      </c>
      <c r="E56" s="14" t="str">
        <f t="shared" si="7"/>
        <v xml:space="preserve">Angie Lee  </v>
      </c>
      <c r="F56" s="14" t="str">
        <f t="shared" si="8"/>
        <v xml:space="preserve">ANGIE LEE  </v>
      </c>
      <c r="G56" s="14" t="str">
        <f t="shared" si="9"/>
        <v xml:space="preserve">angie lee  </v>
      </c>
      <c r="H56" s="14" t="str">
        <f t="shared" si="10"/>
        <v>Angie Lee</v>
      </c>
      <c r="I56" s="14" t="str">
        <f t="shared" si="11"/>
        <v>Angie Lee</v>
      </c>
      <c r="J56" s="14"/>
      <c r="K56" s="14"/>
      <c r="L56" s="14"/>
      <c r="M56" s="14"/>
      <c r="N56" s="14"/>
    </row>
    <row r="57" spans="1:14" x14ac:dyDescent="0.3">
      <c r="A57">
        <v>5252535</v>
      </c>
      <c r="B57" t="s">
        <v>60</v>
      </c>
      <c r="C57" t="s">
        <v>61</v>
      </c>
      <c r="D57" s="14" t="str">
        <f t="shared" si="6"/>
        <v xml:space="preserve">andrew lim  </v>
      </c>
      <c r="E57" s="14" t="str">
        <f t="shared" si="7"/>
        <v xml:space="preserve">Andrew Lim  </v>
      </c>
      <c r="F57" s="14" t="str">
        <f t="shared" si="8"/>
        <v xml:space="preserve">ANDREW LIM  </v>
      </c>
      <c r="G57" s="14" t="str">
        <f t="shared" si="9"/>
        <v xml:space="preserve">andrew lim  </v>
      </c>
      <c r="H57" s="14" t="str">
        <f t="shared" si="10"/>
        <v>Andrew Lim</v>
      </c>
      <c r="I57" s="14" t="str">
        <f t="shared" si="11"/>
        <v>Andrew Lim</v>
      </c>
      <c r="J57" s="14"/>
      <c r="K57" s="14"/>
      <c r="L57" s="14"/>
      <c r="M57" s="14"/>
      <c r="N57" s="14"/>
    </row>
    <row r="58" spans="1:14" x14ac:dyDescent="0.3">
      <c r="A58">
        <v>5762558</v>
      </c>
      <c r="B58" t="s">
        <v>52</v>
      </c>
      <c r="C58" t="s">
        <v>53</v>
      </c>
      <c r="D58" s="14" t="str">
        <f t="shared" si="6"/>
        <v xml:space="preserve">john silver  </v>
      </c>
      <c r="E58" s="14" t="str">
        <f t="shared" si="7"/>
        <v xml:space="preserve">John Silver  </v>
      </c>
      <c r="F58" s="14" t="str">
        <f t="shared" si="8"/>
        <v xml:space="preserve">JOHN SILVER  </v>
      </c>
      <c r="G58" s="14" t="str">
        <f t="shared" si="9"/>
        <v xml:space="preserve">john silver  </v>
      </c>
      <c r="H58" s="14" t="str">
        <f t="shared" si="10"/>
        <v>John Silver</v>
      </c>
      <c r="I58" s="14" t="str">
        <f t="shared" si="11"/>
        <v>John Silver</v>
      </c>
      <c r="J58" s="14"/>
      <c r="K58" s="14"/>
      <c r="L58" s="14"/>
      <c r="M58" s="14"/>
      <c r="N58" s="14"/>
    </row>
    <row r="59" spans="1:14" x14ac:dyDescent="0.3">
      <c r="A59">
        <v>1588788</v>
      </c>
      <c r="B59" t="s">
        <v>84</v>
      </c>
      <c r="C59" t="s">
        <v>85</v>
      </c>
      <c r="D59" s="14" t="str">
        <f t="shared" si="6"/>
        <v xml:space="preserve">unlimited learning  </v>
      </c>
      <c r="E59" s="14" t="str">
        <f t="shared" si="7"/>
        <v xml:space="preserve">Unlimited Learning  </v>
      </c>
      <c r="F59" s="14" t="str">
        <f t="shared" si="8"/>
        <v xml:space="preserve">UNLIMITED LEARNING  </v>
      </c>
      <c r="G59" s="14" t="str">
        <f t="shared" si="9"/>
        <v xml:space="preserve">unlimited learning  </v>
      </c>
      <c r="H59" s="14" t="str">
        <f t="shared" si="10"/>
        <v>Unlimited Learning</v>
      </c>
      <c r="I59" s="14" t="str">
        <f t="shared" si="11"/>
        <v>Unlimited Learning</v>
      </c>
      <c r="J59" s="14"/>
      <c r="K59" s="14"/>
      <c r="L59" s="14"/>
      <c r="M59" s="14"/>
      <c r="N59" s="14"/>
    </row>
    <row r="60" spans="1:14" x14ac:dyDescent="0.3">
      <c r="A60">
        <v>3513886</v>
      </c>
      <c r="B60" t="s">
        <v>66</v>
      </c>
      <c r="C60" t="s">
        <v>67</v>
      </c>
      <c r="D60" s="14" t="str">
        <f t="shared" si="6"/>
        <v xml:space="preserve">reuben long  </v>
      </c>
      <c r="E60" s="14" t="str">
        <f t="shared" si="7"/>
        <v xml:space="preserve">Reuben Long  </v>
      </c>
      <c r="F60" s="14" t="str">
        <f t="shared" si="8"/>
        <v xml:space="preserve">REUBEN LONG  </v>
      </c>
      <c r="G60" s="14" t="str">
        <f t="shared" si="9"/>
        <v xml:space="preserve">reuben long  </v>
      </c>
      <c r="H60" s="14" t="str">
        <f t="shared" si="10"/>
        <v>Reuben Long</v>
      </c>
      <c r="I60" s="14" t="str">
        <f t="shared" si="11"/>
        <v>Reuben Long</v>
      </c>
      <c r="J60" s="14"/>
      <c r="K60" s="14"/>
      <c r="L60" s="14"/>
      <c r="M60" s="14"/>
      <c r="N60" s="14"/>
    </row>
    <row r="61" spans="1:14" x14ac:dyDescent="0.3">
      <c r="A61">
        <v>7866436</v>
      </c>
      <c r="B61" t="s">
        <v>60</v>
      </c>
      <c r="C61" t="s">
        <v>61</v>
      </c>
      <c r="D61" s="14" t="str">
        <f t="shared" si="6"/>
        <v xml:space="preserve">andrew lim  </v>
      </c>
      <c r="E61" s="14" t="str">
        <f t="shared" si="7"/>
        <v xml:space="preserve">Andrew Lim  </v>
      </c>
      <c r="F61" s="14" t="str">
        <f t="shared" si="8"/>
        <v xml:space="preserve">ANDREW LIM  </v>
      </c>
      <c r="G61" s="14" t="str">
        <f t="shared" si="9"/>
        <v xml:space="preserve">andrew lim  </v>
      </c>
      <c r="H61" s="14" t="str">
        <f t="shared" si="10"/>
        <v>Andrew Lim</v>
      </c>
      <c r="I61" s="14" t="str">
        <f t="shared" si="11"/>
        <v>Andrew Lim</v>
      </c>
      <c r="J61" s="14"/>
      <c r="K61" s="14"/>
      <c r="L61" s="14"/>
      <c r="M61" s="14"/>
      <c r="N61" s="14"/>
    </row>
    <row r="62" spans="1:14" x14ac:dyDescent="0.3">
      <c r="A62">
        <v>6817518</v>
      </c>
      <c r="B62" t="s">
        <v>84</v>
      </c>
      <c r="C62" t="s">
        <v>85</v>
      </c>
      <c r="D62" s="14" t="str">
        <f t="shared" si="6"/>
        <v xml:space="preserve">unlimited learning  </v>
      </c>
      <c r="E62" s="14" t="str">
        <f t="shared" si="7"/>
        <v xml:space="preserve">Unlimited Learning  </v>
      </c>
      <c r="F62" s="14" t="str">
        <f t="shared" si="8"/>
        <v xml:space="preserve">UNLIMITED LEARNING  </v>
      </c>
      <c r="G62" s="14" t="str">
        <f t="shared" si="9"/>
        <v xml:space="preserve">unlimited learning  </v>
      </c>
      <c r="H62" s="14" t="str">
        <f t="shared" si="10"/>
        <v>Unlimited Learning</v>
      </c>
      <c r="I62" s="14" t="str">
        <f t="shared" si="11"/>
        <v>Unlimited Learning</v>
      </c>
      <c r="J62" s="14"/>
      <c r="K62" s="14"/>
      <c r="L62" s="14"/>
      <c r="M62" s="14"/>
      <c r="N62" s="14"/>
    </row>
    <row r="63" spans="1:14" x14ac:dyDescent="0.3">
      <c r="A63">
        <v>4471864</v>
      </c>
      <c r="B63" t="s">
        <v>50</v>
      </c>
      <c r="C63" t="s">
        <v>51</v>
      </c>
      <c r="D63" s="14" t="str">
        <f t="shared" si="6"/>
        <v xml:space="preserve">ana nacho  </v>
      </c>
      <c r="E63" s="14" t="str">
        <f t="shared" si="7"/>
        <v xml:space="preserve">Ana Nacho  </v>
      </c>
      <c r="F63" s="14" t="str">
        <f t="shared" si="8"/>
        <v xml:space="preserve">ANA NACHO  </v>
      </c>
      <c r="G63" s="14" t="str">
        <f t="shared" si="9"/>
        <v xml:space="preserve">ana nacho  </v>
      </c>
      <c r="H63" s="14" t="str">
        <f t="shared" si="10"/>
        <v>Ana Nacho</v>
      </c>
      <c r="I63" s="14" t="str">
        <f t="shared" si="11"/>
        <v>Ana Nacho</v>
      </c>
      <c r="J63" s="14"/>
      <c r="K63" s="14"/>
      <c r="L63" s="14"/>
      <c r="M63" s="14"/>
      <c r="N63" s="14"/>
    </row>
    <row r="64" spans="1:14" x14ac:dyDescent="0.3">
      <c r="A64">
        <v>4919131</v>
      </c>
      <c r="B64" t="s">
        <v>54</v>
      </c>
      <c r="C64" t="s">
        <v>55</v>
      </c>
      <c r="D64" s="14" t="str">
        <f t="shared" si="6"/>
        <v xml:space="preserve">liz soomin  </v>
      </c>
      <c r="E64" s="14" t="str">
        <f t="shared" si="7"/>
        <v xml:space="preserve">Liz Soomin  </v>
      </c>
      <c r="F64" s="14" t="str">
        <f t="shared" si="8"/>
        <v xml:space="preserve">LIZ SOOMIN  </v>
      </c>
      <c r="G64" s="14" t="str">
        <f t="shared" si="9"/>
        <v xml:space="preserve">liz soomin  </v>
      </c>
      <c r="H64" s="14" t="str">
        <f t="shared" si="10"/>
        <v>Liz Soomin</v>
      </c>
      <c r="I64" s="14" t="str">
        <f t="shared" si="11"/>
        <v>Liz Soomin</v>
      </c>
      <c r="J64" s="14"/>
      <c r="K64" s="14"/>
      <c r="L64" s="14"/>
      <c r="M64" s="14"/>
      <c r="N64" s="14"/>
    </row>
    <row r="65" spans="1:14" x14ac:dyDescent="0.3">
      <c r="A65">
        <v>5902543</v>
      </c>
      <c r="B65" t="s">
        <v>56</v>
      </c>
      <c r="C65" t="s">
        <v>57</v>
      </c>
      <c r="D65" s="14" t="str">
        <f t="shared" si="6"/>
        <v xml:space="preserve">phil kane  </v>
      </c>
      <c r="E65" s="14" t="str">
        <f t="shared" si="7"/>
        <v xml:space="preserve">Phil Kane  </v>
      </c>
      <c r="F65" s="14" t="str">
        <f t="shared" si="8"/>
        <v xml:space="preserve">PHIL KANE  </v>
      </c>
      <c r="G65" s="14" t="str">
        <f t="shared" si="9"/>
        <v xml:space="preserve">phil kane  </v>
      </c>
      <c r="H65" s="14" t="str">
        <f t="shared" si="10"/>
        <v>Phil Kane</v>
      </c>
      <c r="I65" s="14" t="str">
        <f t="shared" si="11"/>
        <v>Phil Kane</v>
      </c>
      <c r="J65" s="14"/>
      <c r="K65" s="14"/>
      <c r="L65" s="14"/>
      <c r="M65" s="14"/>
      <c r="N65" s="14"/>
    </row>
    <row r="66" spans="1:14" x14ac:dyDescent="0.3">
      <c r="A66">
        <v>6065623</v>
      </c>
      <c r="B66" t="s">
        <v>80</v>
      </c>
      <c r="C66" t="s">
        <v>81</v>
      </c>
      <c r="D66" s="14" t="str">
        <f t="shared" si="6"/>
        <v xml:space="preserve">susan loon  </v>
      </c>
      <c r="E66" s="14" t="str">
        <f t="shared" si="7"/>
        <v xml:space="preserve">Susan Loon  </v>
      </c>
      <c r="F66" s="14" t="str">
        <f t="shared" si="8"/>
        <v xml:space="preserve">SUSAN LOON  </v>
      </c>
      <c r="G66" s="14" t="str">
        <f t="shared" si="9"/>
        <v xml:space="preserve">susan loon  </v>
      </c>
      <c r="H66" s="14" t="str">
        <f t="shared" si="10"/>
        <v>Susan Loon</v>
      </c>
      <c r="I66" s="14" t="str">
        <f t="shared" si="11"/>
        <v>Susan Loon</v>
      </c>
      <c r="J66" s="14"/>
      <c r="K66" s="14"/>
      <c r="L66" s="14"/>
      <c r="M66" s="14"/>
      <c r="N66" s="14"/>
    </row>
    <row r="67" spans="1:14" x14ac:dyDescent="0.3">
      <c r="A67">
        <v>8656751</v>
      </c>
      <c r="B67" t="s">
        <v>48</v>
      </c>
      <c r="C67" t="s">
        <v>49</v>
      </c>
      <c r="D67" s="14" t="str">
        <f t="shared" si="6"/>
        <v xml:space="preserve">michael jones  </v>
      </c>
      <c r="E67" s="14" t="str">
        <f t="shared" si="7"/>
        <v xml:space="preserve">Michael Jones  </v>
      </c>
      <c r="F67" s="14" t="str">
        <f t="shared" si="8"/>
        <v xml:space="preserve">MICHAEL JONES  </v>
      </c>
      <c r="G67" s="14" t="str">
        <f t="shared" si="9"/>
        <v xml:space="preserve">michael jones  </v>
      </c>
      <c r="H67" s="14" t="str">
        <f t="shared" si="10"/>
        <v>Michael Jones</v>
      </c>
      <c r="I67" s="14" t="str">
        <f t="shared" si="11"/>
        <v>Michael Jones</v>
      </c>
      <c r="J67" s="14"/>
      <c r="K67" s="14"/>
      <c r="L67" s="14"/>
      <c r="M67" s="14"/>
      <c r="N67" s="14"/>
    </row>
    <row r="68" spans="1:14" x14ac:dyDescent="0.3">
      <c r="A68">
        <v>4639301</v>
      </c>
      <c r="B68" t="s">
        <v>86</v>
      </c>
      <c r="C68" t="s">
        <v>61</v>
      </c>
      <c r="D68" s="14" t="str">
        <f t="shared" si="6"/>
        <v xml:space="preserve">andrew fox  </v>
      </c>
      <c r="E68" s="14" t="str">
        <f t="shared" si="7"/>
        <v xml:space="preserve">Andrew Fox  </v>
      </c>
      <c r="F68" s="14" t="str">
        <f t="shared" si="8"/>
        <v xml:space="preserve">ANDREW FOX  </v>
      </c>
      <c r="G68" s="14" t="str">
        <f t="shared" si="9"/>
        <v xml:space="preserve">andrew fox  </v>
      </c>
      <c r="H68" s="14" t="str">
        <f t="shared" si="10"/>
        <v>Andrew Fox</v>
      </c>
      <c r="I68" s="14" t="str">
        <f t="shared" si="11"/>
        <v>Andrew Fox</v>
      </c>
      <c r="J68" s="14"/>
      <c r="K68" s="14"/>
      <c r="L68" s="14"/>
      <c r="M68" s="14"/>
      <c r="N68" s="14"/>
    </row>
    <row r="69" spans="1:14" x14ac:dyDescent="0.3">
      <c r="A69">
        <v>6341724</v>
      </c>
      <c r="B69" t="s">
        <v>64</v>
      </c>
      <c r="C69" t="s">
        <v>65</v>
      </c>
      <c r="D69" s="14" t="str">
        <f t="shared" si="6"/>
        <v xml:space="preserve">helen bison  </v>
      </c>
      <c r="E69" s="14" t="str">
        <f t="shared" si="7"/>
        <v xml:space="preserve">Helen Bison  </v>
      </c>
      <c r="F69" s="14" t="str">
        <f t="shared" si="8"/>
        <v xml:space="preserve">HELEN BISON  </v>
      </c>
      <c r="G69" s="14" t="str">
        <f t="shared" si="9"/>
        <v xml:space="preserve">helen bison  </v>
      </c>
      <c r="H69" s="14" t="str">
        <f t="shared" si="10"/>
        <v>Helen Bison</v>
      </c>
      <c r="I69" s="14" t="str">
        <f t="shared" si="11"/>
        <v>Helen Bison</v>
      </c>
      <c r="J69" s="14"/>
      <c r="K69" s="14"/>
      <c r="L69" s="14"/>
      <c r="M69" s="14"/>
      <c r="N69" s="14"/>
    </row>
    <row r="70" spans="1:14" x14ac:dyDescent="0.3">
      <c r="A70">
        <v>2299246</v>
      </c>
      <c r="B70" t="s">
        <v>76</v>
      </c>
      <c r="C70" t="s">
        <v>77</v>
      </c>
      <c r="D70" s="14" t="str">
        <f t="shared" ref="D70:D101" si="12">CONCATENATE(C70,B70)</f>
        <v xml:space="preserve">shaun yowie  </v>
      </c>
      <c r="E70" s="14" t="str">
        <f t="shared" ref="E70:E101" si="13">PROPER(D70)</f>
        <v xml:space="preserve">Shaun Yowie  </v>
      </c>
      <c r="F70" s="14" t="str">
        <f t="shared" ref="F70:F101" si="14">UPPER(E70)</f>
        <v xml:space="preserve">SHAUN YOWIE  </v>
      </c>
      <c r="G70" s="14" t="str">
        <f t="shared" ref="G70:G101" si="15">LOWER(D70)</f>
        <v xml:space="preserve">shaun yowie  </v>
      </c>
      <c r="H70" s="14" t="str">
        <f t="shared" ref="H70:H101" si="16">TRIM(E70)</f>
        <v>Shaun Yowie</v>
      </c>
      <c r="I70" s="14" t="str">
        <f t="shared" ref="I70:I101" si="17">TRIM(PROPER(CONCATENATE(C70," ",B70)))</f>
        <v>Shaun Yowie</v>
      </c>
      <c r="J70" s="14"/>
      <c r="K70" s="14"/>
      <c r="L70" s="14"/>
      <c r="M70" s="14"/>
      <c r="N70" s="14"/>
    </row>
    <row r="71" spans="1:14" x14ac:dyDescent="0.3">
      <c r="A71">
        <v>8070596</v>
      </c>
      <c r="B71" t="s">
        <v>78</v>
      </c>
      <c r="C71" t="s">
        <v>79</v>
      </c>
      <c r="D71" s="14" t="str">
        <f t="shared" si="12"/>
        <v xml:space="preserve">evelyn walters  </v>
      </c>
      <c r="E71" s="14" t="str">
        <f t="shared" si="13"/>
        <v xml:space="preserve">Evelyn Walters  </v>
      </c>
      <c r="F71" s="14" t="str">
        <f t="shared" si="14"/>
        <v xml:space="preserve">EVELYN WALTERS  </v>
      </c>
      <c r="G71" s="14" t="str">
        <f t="shared" si="15"/>
        <v xml:space="preserve">evelyn walters  </v>
      </c>
      <c r="H71" s="14" t="str">
        <f t="shared" si="16"/>
        <v>Evelyn Walters</v>
      </c>
      <c r="I71" s="14" t="str">
        <f t="shared" si="17"/>
        <v>Evelyn Walters</v>
      </c>
      <c r="J71" s="14"/>
      <c r="K71" s="14"/>
      <c r="L71" s="14"/>
      <c r="M71" s="14"/>
      <c r="N71" s="14"/>
    </row>
    <row r="72" spans="1:14" x14ac:dyDescent="0.3">
      <c r="A72">
        <v>6048604</v>
      </c>
      <c r="B72" t="s">
        <v>70</v>
      </c>
      <c r="C72" t="s">
        <v>71</v>
      </c>
      <c r="D72" s="14" t="str">
        <f t="shared" si="12"/>
        <v xml:space="preserve">james grau  </v>
      </c>
      <c r="E72" s="14" t="str">
        <f t="shared" si="13"/>
        <v xml:space="preserve">James Grau  </v>
      </c>
      <c r="F72" s="14" t="str">
        <f t="shared" si="14"/>
        <v xml:space="preserve">JAMES GRAU  </v>
      </c>
      <c r="G72" s="14" t="str">
        <f t="shared" si="15"/>
        <v xml:space="preserve">james grau  </v>
      </c>
      <c r="H72" s="14" t="str">
        <f t="shared" si="16"/>
        <v>James Grau</v>
      </c>
      <c r="I72" s="14" t="str">
        <f t="shared" si="17"/>
        <v>James Grau</v>
      </c>
      <c r="J72" s="14"/>
      <c r="K72" s="14"/>
      <c r="L72" s="14"/>
      <c r="M72" s="14"/>
      <c r="N72" s="14"/>
    </row>
    <row r="73" spans="1:14" x14ac:dyDescent="0.3">
      <c r="A73">
        <v>7311693</v>
      </c>
      <c r="B73" t="s">
        <v>52</v>
      </c>
      <c r="C73" t="s">
        <v>53</v>
      </c>
      <c r="D73" s="14" t="str">
        <f t="shared" si="12"/>
        <v xml:space="preserve">john silver  </v>
      </c>
      <c r="E73" s="14" t="str">
        <f t="shared" si="13"/>
        <v xml:space="preserve">John Silver  </v>
      </c>
      <c r="F73" s="14" t="str">
        <f t="shared" si="14"/>
        <v xml:space="preserve">JOHN SILVER  </v>
      </c>
      <c r="G73" s="14" t="str">
        <f t="shared" si="15"/>
        <v xml:space="preserve">john silver  </v>
      </c>
      <c r="H73" s="14" t="str">
        <f t="shared" si="16"/>
        <v>John Silver</v>
      </c>
      <c r="I73" s="14" t="str">
        <f t="shared" si="17"/>
        <v>John Silver</v>
      </c>
      <c r="J73" s="14"/>
      <c r="K73" s="14"/>
      <c r="L73" s="14"/>
      <c r="M73" s="14"/>
      <c r="N73" s="14"/>
    </row>
    <row r="74" spans="1:14" x14ac:dyDescent="0.3">
      <c r="A74">
        <v>3359114</v>
      </c>
      <c r="B74" t="s">
        <v>84</v>
      </c>
      <c r="C74" t="s">
        <v>85</v>
      </c>
      <c r="D74" s="14" t="str">
        <f t="shared" si="12"/>
        <v xml:space="preserve">unlimited learning  </v>
      </c>
      <c r="E74" s="14" t="str">
        <f t="shared" si="13"/>
        <v xml:space="preserve">Unlimited Learning  </v>
      </c>
      <c r="F74" s="14" t="str">
        <f t="shared" si="14"/>
        <v xml:space="preserve">UNLIMITED LEARNING  </v>
      </c>
      <c r="G74" s="14" t="str">
        <f t="shared" si="15"/>
        <v xml:space="preserve">unlimited learning  </v>
      </c>
      <c r="H74" s="14" t="str">
        <f t="shared" si="16"/>
        <v>Unlimited Learning</v>
      </c>
      <c r="I74" s="14" t="str">
        <f t="shared" si="17"/>
        <v>Unlimited Learning</v>
      </c>
      <c r="J74" s="14"/>
      <c r="K74" s="14"/>
      <c r="L74" s="14"/>
      <c r="M74" s="14"/>
      <c r="N74" s="14"/>
    </row>
    <row r="75" spans="1:14" x14ac:dyDescent="0.3">
      <c r="A75">
        <v>3230819</v>
      </c>
      <c r="B75" t="s">
        <v>54</v>
      </c>
      <c r="C75" t="s">
        <v>55</v>
      </c>
      <c r="D75" s="14" t="str">
        <f t="shared" si="12"/>
        <v xml:space="preserve">liz soomin  </v>
      </c>
      <c r="E75" s="14" t="str">
        <f t="shared" si="13"/>
        <v xml:space="preserve">Liz Soomin  </v>
      </c>
      <c r="F75" s="14" t="str">
        <f t="shared" si="14"/>
        <v xml:space="preserve">LIZ SOOMIN  </v>
      </c>
      <c r="G75" s="14" t="str">
        <f t="shared" si="15"/>
        <v xml:space="preserve">liz soomin  </v>
      </c>
      <c r="H75" s="14" t="str">
        <f t="shared" si="16"/>
        <v>Liz Soomin</v>
      </c>
      <c r="I75" s="14" t="str">
        <f t="shared" si="17"/>
        <v>Liz Soomin</v>
      </c>
      <c r="J75" s="14"/>
      <c r="K75" s="14"/>
      <c r="L75" s="14"/>
      <c r="M75" s="14"/>
      <c r="N75" s="14"/>
    </row>
    <row r="76" spans="1:14" x14ac:dyDescent="0.3">
      <c r="A76">
        <v>7939032</v>
      </c>
      <c r="B76" t="s">
        <v>62</v>
      </c>
      <c r="C76" t="s">
        <v>63</v>
      </c>
      <c r="D76" s="14" t="str">
        <f t="shared" si="12"/>
        <v xml:space="preserve">daniel gulady  </v>
      </c>
      <c r="E76" s="14" t="str">
        <f t="shared" si="13"/>
        <v xml:space="preserve">Daniel Gulady  </v>
      </c>
      <c r="F76" s="14" t="str">
        <f t="shared" si="14"/>
        <v xml:space="preserve">DANIEL GULADY  </v>
      </c>
      <c r="G76" s="14" t="str">
        <f t="shared" si="15"/>
        <v xml:space="preserve">daniel gulady  </v>
      </c>
      <c r="H76" s="14" t="str">
        <f t="shared" si="16"/>
        <v>Daniel Gulady</v>
      </c>
      <c r="I76" s="14" t="str">
        <f t="shared" si="17"/>
        <v>Daniel Gulady</v>
      </c>
      <c r="J76" s="14"/>
      <c r="K76" s="14"/>
      <c r="L76" s="14"/>
      <c r="M76" s="14"/>
      <c r="N76" s="14"/>
    </row>
    <row r="77" spans="1:14" x14ac:dyDescent="0.3">
      <c r="A77">
        <v>1573850</v>
      </c>
      <c r="B77" t="s">
        <v>58</v>
      </c>
      <c r="C77" t="s">
        <v>59</v>
      </c>
      <c r="D77" s="14" t="str">
        <f t="shared" si="12"/>
        <v xml:space="preserve">angie lee  </v>
      </c>
      <c r="E77" s="14" t="str">
        <f t="shared" si="13"/>
        <v xml:space="preserve">Angie Lee  </v>
      </c>
      <c r="F77" s="14" t="str">
        <f t="shared" si="14"/>
        <v xml:space="preserve">ANGIE LEE  </v>
      </c>
      <c r="G77" s="14" t="str">
        <f t="shared" si="15"/>
        <v xml:space="preserve">angie lee  </v>
      </c>
      <c r="H77" s="14" t="str">
        <f t="shared" si="16"/>
        <v>Angie Lee</v>
      </c>
      <c r="I77" s="14" t="str">
        <f t="shared" si="17"/>
        <v>Angie Lee</v>
      </c>
      <c r="J77" s="14"/>
      <c r="K77" s="14"/>
      <c r="L77" s="14"/>
      <c r="M77" s="14"/>
      <c r="N77" s="14"/>
    </row>
    <row r="78" spans="1:14" x14ac:dyDescent="0.3">
      <c r="A78">
        <v>2845488</v>
      </c>
      <c r="B78" t="s">
        <v>52</v>
      </c>
      <c r="C78" t="s">
        <v>53</v>
      </c>
      <c r="D78" s="14" t="str">
        <f t="shared" si="12"/>
        <v xml:space="preserve">john silver  </v>
      </c>
      <c r="E78" s="14" t="str">
        <f t="shared" si="13"/>
        <v xml:space="preserve">John Silver  </v>
      </c>
      <c r="F78" s="14" t="str">
        <f t="shared" si="14"/>
        <v xml:space="preserve">JOHN SILVER  </v>
      </c>
      <c r="G78" s="14" t="str">
        <f t="shared" si="15"/>
        <v xml:space="preserve">john silver  </v>
      </c>
      <c r="H78" s="14" t="str">
        <f t="shared" si="16"/>
        <v>John Silver</v>
      </c>
      <c r="I78" s="14" t="str">
        <f t="shared" si="17"/>
        <v>John Silver</v>
      </c>
      <c r="J78" s="14"/>
      <c r="K78" s="14"/>
      <c r="L78" s="14"/>
      <c r="M78" s="14"/>
      <c r="N78" s="14"/>
    </row>
    <row r="79" spans="1:14" x14ac:dyDescent="0.3">
      <c r="A79">
        <v>6131596</v>
      </c>
      <c r="B79" t="s">
        <v>64</v>
      </c>
      <c r="C79" t="s">
        <v>65</v>
      </c>
      <c r="D79" s="14" t="str">
        <f t="shared" si="12"/>
        <v xml:space="preserve">helen bison  </v>
      </c>
      <c r="E79" s="14" t="str">
        <f t="shared" si="13"/>
        <v xml:space="preserve">Helen Bison  </v>
      </c>
      <c r="F79" s="14" t="str">
        <f t="shared" si="14"/>
        <v xml:space="preserve">HELEN BISON  </v>
      </c>
      <c r="G79" s="14" t="str">
        <f t="shared" si="15"/>
        <v xml:space="preserve">helen bison  </v>
      </c>
      <c r="H79" s="14" t="str">
        <f t="shared" si="16"/>
        <v>Helen Bison</v>
      </c>
      <c r="I79" s="14" t="str">
        <f t="shared" si="17"/>
        <v>Helen Bison</v>
      </c>
      <c r="J79" s="14"/>
      <c r="K79" s="14"/>
      <c r="L79" s="14"/>
      <c r="M79" s="14"/>
      <c r="N79" s="14"/>
    </row>
    <row r="80" spans="1:14" x14ac:dyDescent="0.3">
      <c r="A80">
        <v>6518090</v>
      </c>
      <c r="B80" t="s">
        <v>74</v>
      </c>
      <c r="C80" t="s">
        <v>75</v>
      </c>
      <c r="D80" s="14" t="str">
        <f t="shared" si="12"/>
        <v xml:space="preserve">erin monteiro  </v>
      </c>
      <c r="E80" s="14" t="str">
        <f t="shared" si="13"/>
        <v xml:space="preserve">Erin Monteiro  </v>
      </c>
      <c r="F80" s="14" t="str">
        <f t="shared" si="14"/>
        <v xml:space="preserve">ERIN MONTEIRO  </v>
      </c>
      <c r="G80" s="14" t="str">
        <f t="shared" si="15"/>
        <v xml:space="preserve">erin monteiro  </v>
      </c>
      <c r="H80" s="14" t="str">
        <f t="shared" si="16"/>
        <v>Erin Monteiro</v>
      </c>
      <c r="I80" s="14" t="str">
        <f t="shared" si="17"/>
        <v>Erin Monteiro</v>
      </c>
      <c r="J80" s="14"/>
      <c r="K80" s="14"/>
      <c r="L80" s="14"/>
      <c r="M80" s="14"/>
      <c r="N80" s="14"/>
    </row>
    <row r="81" spans="1:14" x14ac:dyDescent="0.3">
      <c r="A81">
        <v>4686726</v>
      </c>
      <c r="B81" t="s">
        <v>50</v>
      </c>
      <c r="C81" t="s">
        <v>51</v>
      </c>
      <c r="D81" s="14" t="str">
        <f t="shared" si="12"/>
        <v xml:space="preserve">ana nacho  </v>
      </c>
      <c r="E81" s="14" t="str">
        <f t="shared" si="13"/>
        <v xml:space="preserve">Ana Nacho  </v>
      </c>
      <c r="F81" s="14" t="str">
        <f t="shared" si="14"/>
        <v xml:space="preserve">ANA NACHO  </v>
      </c>
      <c r="G81" s="14" t="str">
        <f t="shared" si="15"/>
        <v xml:space="preserve">ana nacho  </v>
      </c>
      <c r="H81" s="14" t="str">
        <f t="shared" si="16"/>
        <v>Ana Nacho</v>
      </c>
      <c r="I81" s="14" t="str">
        <f t="shared" si="17"/>
        <v>Ana Nacho</v>
      </c>
      <c r="J81" s="14"/>
      <c r="K81" s="14"/>
      <c r="L81" s="14"/>
      <c r="M81" s="14"/>
      <c r="N81" s="14"/>
    </row>
    <row r="82" spans="1:14" x14ac:dyDescent="0.3">
      <c r="A82">
        <v>4880623</v>
      </c>
      <c r="B82" t="s">
        <v>74</v>
      </c>
      <c r="C82" t="s">
        <v>75</v>
      </c>
      <c r="D82" s="14" t="str">
        <f t="shared" si="12"/>
        <v xml:space="preserve">erin monteiro  </v>
      </c>
      <c r="E82" s="14" t="str">
        <f t="shared" si="13"/>
        <v xml:space="preserve">Erin Monteiro  </v>
      </c>
      <c r="F82" s="14" t="str">
        <f t="shared" si="14"/>
        <v xml:space="preserve">ERIN MONTEIRO  </v>
      </c>
      <c r="G82" s="14" t="str">
        <f t="shared" si="15"/>
        <v xml:space="preserve">erin monteiro  </v>
      </c>
      <c r="H82" s="14" t="str">
        <f t="shared" si="16"/>
        <v>Erin Monteiro</v>
      </c>
      <c r="I82" s="14" t="str">
        <f t="shared" si="17"/>
        <v>Erin Monteiro</v>
      </c>
      <c r="J82" s="14"/>
      <c r="K82" s="14"/>
      <c r="L82" s="14"/>
      <c r="M82" s="14"/>
      <c r="N82" s="14"/>
    </row>
    <row r="83" spans="1:14" x14ac:dyDescent="0.3">
      <c r="A83">
        <v>4621820</v>
      </c>
      <c r="B83" t="s">
        <v>60</v>
      </c>
      <c r="C83" t="s">
        <v>61</v>
      </c>
      <c r="D83" s="14" t="str">
        <f t="shared" si="12"/>
        <v xml:space="preserve">andrew lim  </v>
      </c>
      <c r="E83" s="14" t="str">
        <f t="shared" si="13"/>
        <v xml:space="preserve">Andrew Lim  </v>
      </c>
      <c r="F83" s="14" t="str">
        <f t="shared" si="14"/>
        <v xml:space="preserve">ANDREW LIM  </v>
      </c>
      <c r="G83" s="14" t="str">
        <f t="shared" si="15"/>
        <v xml:space="preserve">andrew lim  </v>
      </c>
      <c r="H83" s="14" t="str">
        <f t="shared" si="16"/>
        <v>Andrew Lim</v>
      </c>
      <c r="I83" s="14" t="str">
        <f t="shared" si="17"/>
        <v>Andrew Lim</v>
      </c>
      <c r="J83" s="14"/>
      <c r="K83" s="14"/>
      <c r="L83" s="14"/>
      <c r="M83" s="14"/>
      <c r="N83" s="14"/>
    </row>
    <row r="84" spans="1:14" x14ac:dyDescent="0.3">
      <c r="A84">
        <v>9241013</v>
      </c>
      <c r="B84" t="s">
        <v>70</v>
      </c>
      <c r="C84" t="s">
        <v>71</v>
      </c>
      <c r="D84" s="14" t="str">
        <f t="shared" si="12"/>
        <v xml:space="preserve">james grau  </v>
      </c>
      <c r="E84" s="14" t="str">
        <f t="shared" si="13"/>
        <v xml:space="preserve">James Grau  </v>
      </c>
      <c r="F84" s="14" t="str">
        <f t="shared" si="14"/>
        <v xml:space="preserve">JAMES GRAU  </v>
      </c>
      <c r="G84" s="14" t="str">
        <f t="shared" si="15"/>
        <v xml:space="preserve">james grau  </v>
      </c>
      <c r="H84" s="14" t="str">
        <f t="shared" si="16"/>
        <v>James Grau</v>
      </c>
      <c r="I84" s="14" t="str">
        <f t="shared" si="17"/>
        <v>James Grau</v>
      </c>
      <c r="J84" s="14"/>
      <c r="K84" s="14"/>
      <c r="L84" s="14"/>
      <c r="M84" s="14"/>
      <c r="N84" s="14"/>
    </row>
    <row r="85" spans="1:14" x14ac:dyDescent="0.3">
      <c r="A85">
        <v>8230639</v>
      </c>
      <c r="B85" t="s">
        <v>76</v>
      </c>
      <c r="C85" t="s">
        <v>77</v>
      </c>
      <c r="D85" s="14" t="str">
        <f t="shared" si="12"/>
        <v xml:space="preserve">shaun yowie  </v>
      </c>
      <c r="E85" s="14" t="str">
        <f t="shared" si="13"/>
        <v xml:space="preserve">Shaun Yowie  </v>
      </c>
      <c r="F85" s="14" t="str">
        <f t="shared" si="14"/>
        <v xml:space="preserve">SHAUN YOWIE  </v>
      </c>
      <c r="G85" s="14" t="str">
        <f t="shared" si="15"/>
        <v xml:space="preserve">shaun yowie  </v>
      </c>
      <c r="H85" s="14" t="str">
        <f t="shared" si="16"/>
        <v>Shaun Yowie</v>
      </c>
      <c r="I85" s="14" t="str">
        <f t="shared" si="17"/>
        <v>Shaun Yowie</v>
      </c>
      <c r="J85" s="14"/>
      <c r="K85" s="14"/>
      <c r="L85" s="14"/>
      <c r="M85" s="14"/>
      <c r="N85" s="14"/>
    </row>
    <row r="86" spans="1:14" x14ac:dyDescent="0.3">
      <c r="A86">
        <v>8005321</v>
      </c>
      <c r="B86" t="s">
        <v>50</v>
      </c>
      <c r="C86" t="s">
        <v>51</v>
      </c>
      <c r="D86" s="14" t="str">
        <f t="shared" si="12"/>
        <v xml:space="preserve">ana nacho  </v>
      </c>
      <c r="E86" s="14" t="str">
        <f t="shared" si="13"/>
        <v xml:space="preserve">Ana Nacho  </v>
      </c>
      <c r="F86" s="14" t="str">
        <f t="shared" si="14"/>
        <v xml:space="preserve">ANA NACHO  </v>
      </c>
      <c r="G86" s="14" t="str">
        <f t="shared" si="15"/>
        <v xml:space="preserve">ana nacho  </v>
      </c>
      <c r="H86" s="14" t="str">
        <f t="shared" si="16"/>
        <v>Ana Nacho</v>
      </c>
      <c r="I86" s="14" t="str">
        <f t="shared" si="17"/>
        <v>Ana Nacho</v>
      </c>
      <c r="J86" s="14"/>
      <c r="K86" s="14"/>
      <c r="L86" s="14"/>
      <c r="M86" s="14"/>
      <c r="N86" s="14"/>
    </row>
    <row r="87" spans="1:14" x14ac:dyDescent="0.3">
      <c r="A87">
        <v>9924389</v>
      </c>
      <c r="B87" t="s">
        <v>76</v>
      </c>
      <c r="C87" t="s">
        <v>77</v>
      </c>
      <c r="D87" s="14" t="str">
        <f t="shared" si="12"/>
        <v xml:space="preserve">shaun yowie  </v>
      </c>
      <c r="E87" s="14" t="str">
        <f t="shared" si="13"/>
        <v xml:space="preserve">Shaun Yowie  </v>
      </c>
      <c r="F87" s="14" t="str">
        <f t="shared" si="14"/>
        <v xml:space="preserve">SHAUN YOWIE  </v>
      </c>
      <c r="G87" s="14" t="str">
        <f t="shared" si="15"/>
        <v xml:space="preserve">shaun yowie  </v>
      </c>
      <c r="H87" s="14" t="str">
        <f t="shared" si="16"/>
        <v>Shaun Yowie</v>
      </c>
      <c r="I87" s="14" t="str">
        <f t="shared" si="17"/>
        <v>Shaun Yowie</v>
      </c>
      <c r="J87" s="14"/>
      <c r="K87" s="14"/>
      <c r="L87" s="14"/>
      <c r="M87" s="14"/>
      <c r="N87" s="14"/>
    </row>
    <row r="88" spans="1:14" x14ac:dyDescent="0.3">
      <c r="A88">
        <v>9610090</v>
      </c>
      <c r="B88" t="s">
        <v>50</v>
      </c>
      <c r="C88" t="s">
        <v>51</v>
      </c>
      <c r="D88" s="14" t="str">
        <f t="shared" si="12"/>
        <v xml:space="preserve">ana nacho  </v>
      </c>
      <c r="E88" s="14" t="str">
        <f t="shared" si="13"/>
        <v xml:space="preserve">Ana Nacho  </v>
      </c>
      <c r="F88" s="14" t="str">
        <f t="shared" si="14"/>
        <v xml:space="preserve">ANA NACHO  </v>
      </c>
      <c r="G88" s="14" t="str">
        <f t="shared" si="15"/>
        <v xml:space="preserve">ana nacho  </v>
      </c>
      <c r="H88" s="14" t="str">
        <f t="shared" si="16"/>
        <v>Ana Nacho</v>
      </c>
      <c r="I88" s="14" t="str">
        <f t="shared" si="17"/>
        <v>Ana Nacho</v>
      </c>
      <c r="J88" s="14"/>
      <c r="K88" s="14"/>
      <c r="L88" s="14"/>
      <c r="M88" s="14"/>
      <c r="N88" s="14"/>
    </row>
    <row r="89" spans="1:14" x14ac:dyDescent="0.3">
      <c r="A89">
        <v>9728373</v>
      </c>
      <c r="B89" t="s">
        <v>60</v>
      </c>
      <c r="C89" t="s">
        <v>61</v>
      </c>
      <c r="D89" s="14" t="str">
        <f t="shared" si="12"/>
        <v xml:space="preserve">andrew lim  </v>
      </c>
      <c r="E89" s="14" t="str">
        <f t="shared" si="13"/>
        <v xml:space="preserve">Andrew Lim  </v>
      </c>
      <c r="F89" s="14" t="str">
        <f t="shared" si="14"/>
        <v xml:space="preserve">ANDREW LIM  </v>
      </c>
      <c r="G89" s="14" t="str">
        <f t="shared" si="15"/>
        <v xml:space="preserve">andrew lim  </v>
      </c>
      <c r="H89" s="14" t="str">
        <f t="shared" si="16"/>
        <v>Andrew Lim</v>
      </c>
      <c r="I89" s="14" t="str">
        <f t="shared" si="17"/>
        <v>Andrew Lim</v>
      </c>
      <c r="J89" s="14"/>
      <c r="K89" s="14"/>
      <c r="L89" s="14"/>
      <c r="M89" s="14"/>
      <c r="N89" s="14"/>
    </row>
    <row r="90" spans="1:14" x14ac:dyDescent="0.3">
      <c r="A90">
        <v>6772883</v>
      </c>
      <c r="B90" t="s">
        <v>72</v>
      </c>
      <c r="C90" t="s">
        <v>73</v>
      </c>
      <c r="D90" s="14" t="str">
        <f t="shared" si="12"/>
        <v xml:space="preserve">jack sparrow  </v>
      </c>
      <c r="E90" s="14" t="str">
        <f t="shared" si="13"/>
        <v xml:space="preserve">Jack Sparrow  </v>
      </c>
      <c r="F90" s="14" t="str">
        <f t="shared" si="14"/>
        <v xml:space="preserve">JACK SPARROW  </v>
      </c>
      <c r="G90" s="14" t="str">
        <f t="shared" si="15"/>
        <v xml:space="preserve">jack sparrow  </v>
      </c>
      <c r="H90" s="14" t="str">
        <f t="shared" si="16"/>
        <v>Jack Sparrow</v>
      </c>
      <c r="I90" s="14" t="str">
        <f t="shared" si="17"/>
        <v>Jack Sparrow</v>
      </c>
      <c r="J90" s="14"/>
      <c r="K90" s="14"/>
      <c r="L90" s="14"/>
      <c r="M90" s="14"/>
      <c r="N90" s="14"/>
    </row>
    <row r="91" spans="1:14" x14ac:dyDescent="0.3">
      <c r="A91">
        <v>6253563</v>
      </c>
      <c r="B91" t="s">
        <v>84</v>
      </c>
      <c r="C91" t="s">
        <v>85</v>
      </c>
      <c r="D91" s="14" t="str">
        <f t="shared" si="12"/>
        <v xml:space="preserve">unlimited learning  </v>
      </c>
      <c r="E91" s="14" t="str">
        <f t="shared" si="13"/>
        <v xml:space="preserve">Unlimited Learning  </v>
      </c>
      <c r="F91" s="14" t="str">
        <f t="shared" si="14"/>
        <v xml:space="preserve">UNLIMITED LEARNING  </v>
      </c>
      <c r="G91" s="14" t="str">
        <f t="shared" si="15"/>
        <v xml:space="preserve">unlimited learning  </v>
      </c>
      <c r="H91" s="14" t="str">
        <f t="shared" si="16"/>
        <v>Unlimited Learning</v>
      </c>
      <c r="I91" s="14" t="str">
        <f t="shared" si="17"/>
        <v>Unlimited Learning</v>
      </c>
      <c r="J91" s="14"/>
      <c r="K91" s="14"/>
      <c r="L91" s="14"/>
      <c r="M91" s="14"/>
      <c r="N91" s="14"/>
    </row>
    <row r="92" spans="1:14" x14ac:dyDescent="0.3">
      <c r="A92">
        <v>7007180</v>
      </c>
      <c r="B92" t="s">
        <v>50</v>
      </c>
      <c r="C92" t="s">
        <v>51</v>
      </c>
      <c r="D92" s="14" t="str">
        <f t="shared" si="12"/>
        <v xml:space="preserve">ana nacho  </v>
      </c>
      <c r="E92" s="14" t="str">
        <f t="shared" si="13"/>
        <v xml:space="preserve">Ana Nacho  </v>
      </c>
      <c r="F92" s="14" t="str">
        <f t="shared" si="14"/>
        <v xml:space="preserve">ANA NACHO  </v>
      </c>
      <c r="G92" s="14" t="str">
        <f t="shared" si="15"/>
        <v xml:space="preserve">ana nacho  </v>
      </c>
      <c r="H92" s="14" t="str">
        <f t="shared" si="16"/>
        <v>Ana Nacho</v>
      </c>
      <c r="I92" s="14" t="str">
        <f t="shared" si="17"/>
        <v>Ana Nacho</v>
      </c>
      <c r="J92" s="14"/>
      <c r="K92" s="14"/>
      <c r="L92" s="14"/>
      <c r="M92" s="14"/>
      <c r="N92" s="14"/>
    </row>
    <row r="93" spans="1:14" x14ac:dyDescent="0.3">
      <c r="A93">
        <v>7995308</v>
      </c>
      <c r="B93" t="s">
        <v>78</v>
      </c>
      <c r="C93" t="s">
        <v>79</v>
      </c>
      <c r="D93" s="14" t="str">
        <f t="shared" si="12"/>
        <v xml:space="preserve">evelyn walters  </v>
      </c>
      <c r="E93" s="14" t="str">
        <f t="shared" si="13"/>
        <v xml:space="preserve">Evelyn Walters  </v>
      </c>
      <c r="F93" s="14" t="str">
        <f t="shared" si="14"/>
        <v xml:space="preserve">EVELYN WALTERS  </v>
      </c>
      <c r="G93" s="14" t="str">
        <f t="shared" si="15"/>
        <v xml:space="preserve">evelyn walters  </v>
      </c>
      <c r="H93" s="14" t="str">
        <f t="shared" si="16"/>
        <v>Evelyn Walters</v>
      </c>
      <c r="I93" s="14" t="str">
        <f t="shared" si="17"/>
        <v>Evelyn Walters</v>
      </c>
      <c r="J93" s="14"/>
      <c r="K93" s="14"/>
      <c r="L93" s="14"/>
      <c r="M93" s="14"/>
      <c r="N93" s="14"/>
    </row>
    <row r="94" spans="1:14" x14ac:dyDescent="0.3">
      <c r="A94">
        <v>7938105</v>
      </c>
      <c r="B94" t="s">
        <v>60</v>
      </c>
      <c r="C94" t="s">
        <v>61</v>
      </c>
      <c r="D94" s="14" t="str">
        <f t="shared" si="12"/>
        <v xml:space="preserve">andrew lim  </v>
      </c>
      <c r="E94" s="14" t="str">
        <f t="shared" si="13"/>
        <v xml:space="preserve">Andrew Lim  </v>
      </c>
      <c r="F94" s="14" t="str">
        <f t="shared" si="14"/>
        <v xml:space="preserve">ANDREW LIM  </v>
      </c>
      <c r="G94" s="14" t="str">
        <f t="shared" si="15"/>
        <v xml:space="preserve">andrew lim  </v>
      </c>
      <c r="H94" s="14" t="str">
        <f t="shared" si="16"/>
        <v>Andrew Lim</v>
      </c>
      <c r="I94" s="14" t="str">
        <f t="shared" si="17"/>
        <v>Andrew Lim</v>
      </c>
      <c r="J94" s="14"/>
      <c r="K94" s="14"/>
      <c r="L94" s="14"/>
      <c r="M94" s="14"/>
      <c r="N94" s="14"/>
    </row>
    <row r="95" spans="1:14" x14ac:dyDescent="0.3">
      <c r="A95">
        <v>7525972</v>
      </c>
      <c r="B95" t="s">
        <v>70</v>
      </c>
      <c r="C95" t="s">
        <v>71</v>
      </c>
      <c r="D95" s="14" t="str">
        <f t="shared" si="12"/>
        <v xml:space="preserve">james grau  </v>
      </c>
      <c r="E95" s="14" t="str">
        <f t="shared" si="13"/>
        <v xml:space="preserve">James Grau  </v>
      </c>
      <c r="F95" s="14" t="str">
        <f t="shared" si="14"/>
        <v xml:space="preserve">JAMES GRAU  </v>
      </c>
      <c r="G95" s="14" t="str">
        <f t="shared" si="15"/>
        <v xml:space="preserve">james grau  </v>
      </c>
      <c r="H95" s="14" t="str">
        <f t="shared" si="16"/>
        <v>James Grau</v>
      </c>
      <c r="I95" s="14" t="str">
        <f t="shared" si="17"/>
        <v>James Grau</v>
      </c>
      <c r="J95" s="14"/>
      <c r="K95" s="14"/>
      <c r="L95" s="14"/>
      <c r="M95" s="14"/>
      <c r="N95" s="14"/>
    </row>
    <row r="96" spans="1:14" x14ac:dyDescent="0.3">
      <c r="A96">
        <v>2164842</v>
      </c>
      <c r="B96" t="s">
        <v>86</v>
      </c>
      <c r="C96" t="s">
        <v>61</v>
      </c>
      <c r="D96" s="14" t="str">
        <f t="shared" si="12"/>
        <v xml:space="preserve">andrew fox  </v>
      </c>
      <c r="E96" s="14" t="str">
        <f t="shared" si="13"/>
        <v xml:space="preserve">Andrew Fox  </v>
      </c>
      <c r="F96" s="14" t="str">
        <f t="shared" si="14"/>
        <v xml:space="preserve">ANDREW FOX  </v>
      </c>
      <c r="G96" s="14" t="str">
        <f t="shared" si="15"/>
        <v xml:space="preserve">andrew fox  </v>
      </c>
      <c r="H96" s="14" t="str">
        <f t="shared" si="16"/>
        <v>Andrew Fox</v>
      </c>
      <c r="I96" s="14" t="str">
        <f t="shared" si="17"/>
        <v>Andrew Fox</v>
      </c>
      <c r="J96" s="14"/>
      <c r="K96" s="14"/>
      <c r="L96" s="14"/>
      <c r="M96" s="14"/>
      <c r="N96" s="14"/>
    </row>
    <row r="97" spans="1:14" x14ac:dyDescent="0.3">
      <c r="A97">
        <v>4179616</v>
      </c>
      <c r="B97" t="s">
        <v>68</v>
      </c>
      <c r="C97" t="s">
        <v>69</v>
      </c>
      <c r="D97" s="14" t="str">
        <f t="shared" si="12"/>
        <v xml:space="preserve">melissa straw  </v>
      </c>
      <c r="E97" s="14" t="str">
        <f t="shared" si="13"/>
        <v xml:space="preserve">Melissa Straw  </v>
      </c>
      <c r="F97" s="14" t="str">
        <f t="shared" si="14"/>
        <v xml:space="preserve">MELISSA STRAW  </v>
      </c>
      <c r="G97" s="14" t="str">
        <f t="shared" si="15"/>
        <v xml:space="preserve">melissa straw  </v>
      </c>
      <c r="H97" s="14" t="str">
        <f t="shared" si="16"/>
        <v>Melissa Straw</v>
      </c>
      <c r="I97" s="14" t="str">
        <f t="shared" si="17"/>
        <v>Melissa Straw</v>
      </c>
      <c r="J97" s="14"/>
      <c r="K97" s="14"/>
      <c r="L97" s="14"/>
      <c r="M97" s="14"/>
      <c r="N97" s="14"/>
    </row>
    <row r="98" spans="1:14" x14ac:dyDescent="0.3">
      <c r="A98">
        <v>8352729</v>
      </c>
      <c r="B98" t="s">
        <v>66</v>
      </c>
      <c r="C98" t="s">
        <v>67</v>
      </c>
      <c r="D98" s="14" t="str">
        <f t="shared" si="12"/>
        <v xml:space="preserve">reuben long  </v>
      </c>
      <c r="E98" s="14" t="str">
        <f t="shared" si="13"/>
        <v xml:space="preserve">Reuben Long  </v>
      </c>
      <c r="F98" s="14" t="str">
        <f t="shared" si="14"/>
        <v xml:space="preserve">REUBEN LONG  </v>
      </c>
      <c r="G98" s="14" t="str">
        <f t="shared" si="15"/>
        <v xml:space="preserve">reuben long  </v>
      </c>
      <c r="H98" s="14" t="str">
        <f t="shared" si="16"/>
        <v>Reuben Long</v>
      </c>
      <c r="I98" s="14" t="str">
        <f t="shared" si="17"/>
        <v>Reuben Long</v>
      </c>
      <c r="J98" s="14"/>
      <c r="K98" s="14"/>
      <c r="L98" s="14"/>
      <c r="M98" s="14"/>
      <c r="N98" s="14"/>
    </row>
    <row r="99" spans="1:14" x14ac:dyDescent="0.3">
      <c r="A99">
        <v>1674914</v>
      </c>
      <c r="B99" t="s">
        <v>76</v>
      </c>
      <c r="C99" t="s">
        <v>77</v>
      </c>
      <c r="D99" s="14" t="str">
        <f t="shared" si="12"/>
        <v xml:space="preserve">shaun yowie  </v>
      </c>
      <c r="E99" s="14" t="str">
        <f t="shared" si="13"/>
        <v xml:space="preserve">Shaun Yowie  </v>
      </c>
      <c r="F99" s="14" t="str">
        <f t="shared" si="14"/>
        <v xml:space="preserve">SHAUN YOWIE  </v>
      </c>
      <c r="G99" s="14" t="str">
        <f t="shared" si="15"/>
        <v xml:space="preserve">shaun yowie  </v>
      </c>
      <c r="H99" s="14" t="str">
        <f t="shared" si="16"/>
        <v>Shaun Yowie</v>
      </c>
      <c r="I99" s="14" t="str">
        <f t="shared" si="17"/>
        <v>Shaun Yowie</v>
      </c>
      <c r="J99" s="14"/>
      <c r="K99" s="14"/>
      <c r="L99" s="14"/>
      <c r="M99" s="14"/>
      <c r="N99" s="14"/>
    </row>
    <row r="100" spans="1:14" x14ac:dyDescent="0.3">
      <c r="A100">
        <v>9285676</v>
      </c>
      <c r="B100" t="s">
        <v>84</v>
      </c>
      <c r="C100" t="s">
        <v>85</v>
      </c>
      <c r="D100" s="14" t="str">
        <f t="shared" si="12"/>
        <v xml:space="preserve">unlimited learning  </v>
      </c>
      <c r="E100" s="14" t="str">
        <f t="shared" si="13"/>
        <v xml:space="preserve">Unlimited Learning  </v>
      </c>
      <c r="F100" s="14" t="str">
        <f t="shared" si="14"/>
        <v xml:space="preserve">UNLIMITED LEARNING  </v>
      </c>
      <c r="G100" s="14" t="str">
        <f t="shared" si="15"/>
        <v xml:space="preserve">unlimited learning  </v>
      </c>
      <c r="H100" s="14" t="str">
        <f t="shared" si="16"/>
        <v>Unlimited Learning</v>
      </c>
      <c r="I100" s="14" t="str">
        <f t="shared" si="17"/>
        <v>Unlimited Learning</v>
      </c>
      <c r="J100" s="14"/>
      <c r="K100" s="14"/>
      <c r="L100" s="14"/>
      <c r="M100" s="14"/>
      <c r="N100" s="14"/>
    </row>
    <row r="101" spans="1:14" x14ac:dyDescent="0.3">
      <c r="A101">
        <v>2034203</v>
      </c>
      <c r="B101" t="s">
        <v>66</v>
      </c>
      <c r="C101" t="s">
        <v>67</v>
      </c>
      <c r="D101" s="14" t="str">
        <f t="shared" si="12"/>
        <v xml:space="preserve">reuben long  </v>
      </c>
      <c r="E101" s="14" t="str">
        <f t="shared" si="13"/>
        <v xml:space="preserve">Reuben Long  </v>
      </c>
      <c r="F101" s="14" t="str">
        <f t="shared" si="14"/>
        <v xml:space="preserve">REUBEN LONG  </v>
      </c>
      <c r="G101" s="14" t="str">
        <f t="shared" si="15"/>
        <v xml:space="preserve">reuben long  </v>
      </c>
      <c r="H101" s="14" t="str">
        <f t="shared" si="16"/>
        <v>Reuben Long</v>
      </c>
      <c r="I101" s="14" t="str">
        <f t="shared" si="17"/>
        <v>Reuben Long</v>
      </c>
      <c r="J101" s="14"/>
      <c r="K101" s="14"/>
      <c r="L101" s="14"/>
      <c r="M101" s="14"/>
      <c r="N101" s="14"/>
    </row>
    <row r="102" spans="1:14" x14ac:dyDescent="0.3">
      <c r="A102">
        <v>4799948</v>
      </c>
      <c r="B102" t="s">
        <v>82</v>
      </c>
      <c r="C102" t="s">
        <v>83</v>
      </c>
      <c r="D102" s="14" t="str">
        <f t="shared" ref="D102:D133" si="18">CONCATENATE(C102,B102)</f>
        <v xml:space="preserve">jenny furlong  </v>
      </c>
      <c r="E102" s="14" t="str">
        <f t="shared" ref="E102:E133" si="19">PROPER(D102)</f>
        <v xml:space="preserve">Jenny Furlong  </v>
      </c>
      <c r="F102" s="14" t="str">
        <f t="shared" ref="F102:F133" si="20">UPPER(E102)</f>
        <v xml:space="preserve">JENNY FURLONG  </v>
      </c>
      <c r="G102" s="14" t="str">
        <f t="shared" ref="G102:G133" si="21">LOWER(D102)</f>
        <v xml:space="preserve">jenny furlong  </v>
      </c>
      <c r="H102" s="14" t="str">
        <f t="shared" ref="H102:H133" si="22">TRIM(E102)</f>
        <v>Jenny Furlong</v>
      </c>
      <c r="I102" s="14" t="str">
        <f t="shared" ref="I102:I133" si="23">TRIM(PROPER(CONCATENATE(C102," ",B102)))</f>
        <v>Jenny Furlong</v>
      </c>
      <c r="J102" s="14"/>
      <c r="K102" s="14"/>
      <c r="L102" s="14"/>
      <c r="M102" s="14"/>
      <c r="N102" s="14"/>
    </row>
    <row r="103" spans="1:14" x14ac:dyDescent="0.3">
      <c r="A103">
        <v>6647244</v>
      </c>
      <c r="B103" t="s">
        <v>64</v>
      </c>
      <c r="C103" t="s">
        <v>65</v>
      </c>
      <c r="D103" s="14" t="str">
        <f t="shared" si="18"/>
        <v xml:space="preserve">helen bison  </v>
      </c>
      <c r="E103" s="14" t="str">
        <f t="shared" si="19"/>
        <v xml:space="preserve">Helen Bison  </v>
      </c>
      <c r="F103" s="14" t="str">
        <f t="shared" si="20"/>
        <v xml:space="preserve">HELEN BISON  </v>
      </c>
      <c r="G103" s="14" t="str">
        <f t="shared" si="21"/>
        <v xml:space="preserve">helen bison  </v>
      </c>
      <c r="H103" s="14" t="str">
        <f t="shared" si="22"/>
        <v>Helen Bison</v>
      </c>
      <c r="I103" s="14" t="str">
        <f t="shared" si="23"/>
        <v>Helen Bison</v>
      </c>
      <c r="J103" s="14"/>
      <c r="K103" s="14"/>
      <c r="L103" s="14"/>
      <c r="M103" s="14"/>
      <c r="N103" s="14"/>
    </row>
    <row r="104" spans="1:14" x14ac:dyDescent="0.3">
      <c r="A104">
        <v>4686388</v>
      </c>
      <c r="B104" t="s">
        <v>70</v>
      </c>
      <c r="C104" t="s">
        <v>71</v>
      </c>
      <c r="D104" s="14" t="str">
        <f t="shared" si="18"/>
        <v xml:space="preserve">james grau  </v>
      </c>
      <c r="E104" s="14" t="str">
        <f t="shared" si="19"/>
        <v xml:space="preserve">James Grau  </v>
      </c>
      <c r="F104" s="14" t="str">
        <f t="shared" si="20"/>
        <v xml:space="preserve">JAMES GRAU  </v>
      </c>
      <c r="G104" s="14" t="str">
        <f t="shared" si="21"/>
        <v xml:space="preserve">james grau  </v>
      </c>
      <c r="H104" s="14" t="str">
        <f t="shared" si="22"/>
        <v>James Grau</v>
      </c>
      <c r="I104" s="14" t="str">
        <f t="shared" si="23"/>
        <v>James Grau</v>
      </c>
      <c r="J104" s="14"/>
      <c r="K104" s="14"/>
      <c r="L104" s="14"/>
      <c r="M104" s="14"/>
      <c r="N104" s="14"/>
    </row>
    <row r="105" spans="1:14" x14ac:dyDescent="0.3">
      <c r="A105">
        <v>7813421</v>
      </c>
      <c r="B105" t="s">
        <v>70</v>
      </c>
      <c r="C105" t="s">
        <v>71</v>
      </c>
      <c r="D105" s="14" t="str">
        <f t="shared" si="18"/>
        <v xml:space="preserve">james grau  </v>
      </c>
      <c r="E105" s="14" t="str">
        <f t="shared" si="19"/>
        <v xml:space="preserve">James Grau  </v>
      </c>
      <c r="F105" s="14" t="str">
        <f t="shared" si="20"/>
        <v xml:space="preserve">JAMES GRAU  </v>
      </c>
      <c r="G105" s="14" t="str">
        <f t="shared" si="21"/>
        <v xml:space="preserve">james grau  </v>
      </c>
      <c r="H105" s="14" t="str">
        <f t="shared" si="22"/>
        <v>James Grau</v>
      </c>
      <c r="I105" s="14" t="str">
        <f t="shared" si="23"/>
        <v>James Grau</v>
      </c>
      <c r="J105" s="14"/>
      <c r="K105" s="14"/>
      <c r="L105" s="14"/>
      <c r="M105" s="14"/>
      <c r="N105" s="14"/>
    </row>
    <row r="106" spans="1:14" x14ac:dyDescent="0.3">
      <c r="A106">
        <v>2389252</v>
      </c>
      <c r="B106" t="s">
        <v>72</v>
      </c>
      <c r="C106" t="s">
        <v>73</v>
      </c>
      <c r="D106" s="14" t="str">
        <f t="shared" si="18"/>
        <v xml:space="preserve">jack sparrow  </v>
      </c>
      <c r="E106" s="14" t="str">
        <f t="shared" si="19"/>
        <v xml:space="preserve">Jack Sparrow  </v>
      </c>
      <c r="F106" s="14" t="str">
        <f t="shared" si="20"/>
        <v xml:space="preserve">JACK SPARROW  </v>
      </c>
      <c r="G106" s="14" t="str">
        <f t="shared" si="21"/>
        <v xml:space="preserve">jack sparrow  </v>
      </c>
      <c r="H106" s="14" t="str">
        <f t="shared" si="22"/>
        <v>Jack Sparrow</v>
      </c>
      <c r="I106" s="14" t="str">
        <f t="shared" si="23"/>
        <v>Jack Sparrow</v>
      </c>
      <c r="J106" s="14"/>
      <c r="K106" s="14"/>
      <c r="L106" s="14"/>
      <c r="M106" s="14"/>
      <c r="N106" s="14"/>
    </row>
    <row r="107" spans="1:14" x14ac:dyDescent="0.3">
      <c r="A107">
        <v>4058218</v>
      </c>
      <c r="B107" t="s">
        <v>56</v>
      </c>
      <c r="C107" t="s">
        <v>57</v>
      </c>
      <c r="D107" s="14" t="str">
        <f t="shared" si="18"/>
        <v xml:space="preserve">phil kane  </v>
      </c>
      <c r="E107" s="14" t="str">
        <f t="shared" si="19"/>
        <v xml:space="preserve">Phil Kane  </v>
      </c>
      <c r="F107" s="14" t="str">
        <f t="shared" si="20"/>
        <v xml:space="preserve">PHIL KANE  </v>
      </c>
      <c r="G107" s="14" t="str">
        <f t="shared" si="21"/>
        <v xml:space="preserve">phil kane  </v>
      </c>
      <c r="H107" s="14" t="str">
        <f t="shared" si="22"/>
        <v>Phil Kane</v>
      </c>
      <c r="I107" s="14" t="str">
        <f t="shared" si="23"/>
        <v>Phil Kane</v>
      </c>
      <c r="J107" s="14"/>
      <c r="K107" s="14"/>
      <c r="L107" s="14"/>
      <c r="M107" s="14"/>
      <c r="N107" s="14"/>
    </row>
    <row r="108" spans="1:14" x14ac:dyDescent="0.3">
      <c r="A108">
        <v>1565087</v>
      </c>
      <c r="B108" t="s">
        <v>48</v>
      </c>
      <c r="C108" t="s">
        <v>49</v>
      </c>
      <c r="D108" s="14" t="str">
        <f t="shared" si="18"/>
        <v xml:space="preserve">michael jones  </v>
      </c>
      <c r="E108" s="14" t="str">
        <f t="shared" si="19"/>
        <v xml:space="preserve">Michael Jones  </v>
      </c>
      <c r="F108" s="14" t="str">
        <f t="shared" si="20"/>
        <v xml:space="preserve">MICHAEL JONES  </v>
      </c>
      <c r="G108" s="14" t="str">
        <f t="shared" si="21"/>
        <v xml:space="preserve">michael jones  </v>
      </c>
      <c r="H108" s="14" t="str">
        <f t="shared" si="22"/>
        <v>Michael Jones</v>
      </c>
      <c r="I108" s="14" t="str">
        <f t="shared" si="23"/>
        <v>Michael Jones</v>
      </c>
      <c r="J108" s="14"/>
      <c r="K108" s="14"/>
      <c r="L108" s="14"/>
      <c r="M108" s="14"/>
      <c r="N108" s="14"/>
    </row>
    <row r="109" spans="1:14" x14ac:dyDescent="0.3">
      <c r="A109">
        <v>6848850</v>
      </c>
      <c r="B109" t="s">
        <v>78</v>
      </c>
      <c r="C109" t="s">
        <v>79</v>
      </c>
      <c r="D109" s="14" t="str">
        <f t="shared" si="18"/>
        <v xml:space="preserve">evelyn walters  </v>
      </c>
      <c r="E109" s="14" t="str">
        <f t="shared" si="19"/>
        <v xml:space="preserve">Evelyn Walters  </v>
      </c>
      <c r="F109" s="14" t="str">
        <f t="shared" si="20"/>
        <v xml:space="preserve">EVELYN WALTERS  </v>
      </c>
      <c r="G109" s="14" t="str">
        <f t="shared" si="21"/>
        <v xml:space="preserve">evelyn walters  </v>
      </c>
      <c r="H109" s="14" t="str">
        <f t="shared" si="22"/>
        <v>Evelyn Walters</v>
      </c>
      <c r="I109" s="14" t="str">
        <f t="shared" si="23"/>
        <v>Evelyn Walters</v>
      </c>
      <c r="J109" s="14"/>
      <c r="K109" s="14"/>
      <c r="L109" s="14"/>
      <c r="M109" s="14"/>
      <c r="N109" s="14"/>
    </row>
    <row r="110" spans="1:14" x14ac:dyDescent="0.3">
      <c r="A110">
        <v>2023456</v>
      </c>
      <c r="B110" t="s">
        <v>58</v>
      </c>
      <c r="C110" t="s">
        <v>59</v>
      </c>
      <c r="D110" s="14" t="str">
        <f t="shared" si="18"/>
        <v xml:space="preserve">angie lee  </v>
      </c>
      <c r="E110" s="14" t="str">
        <f t="shared" si="19"/>
        <v xml:space="preserve">Angie Lee  </v>
      </c>
      <c r="F110" s="14" t="str">
        <f t="shared" si="20"/>
        <v xml:space="preserve">ANGIE LEE  </v>
      </c>
      <c r="G110" s="14" t="str">
        <f t="shared" si="21"/>
        <v xml:space="preserve">angie lee  </v>
      </c>
      <c r="H110" s="14" t="str">
        <f t="shared" si="22"/>
        <v>Angie Lee</v>
      </c>
      <c r="I110" s="14" t="str">
        <f t="shared" si="23"/>
        <v>Angie Lee</v>
      </c>
      <c r="J110" s="14"/>
      <c r="K110" s="14"/>
      <c r="L110" s="14"/>
      <c r="M110" s="14"/>
      <c r="N110" s="14"/>
    </row>
    <row r="111" spans="1:14" x14ac:dyDescent="0.3">
      <c r="A111">
        <v>9423212</v>
      </c>
      <c r="B111" t="s">
        <v>52</v>
      </c>
      <c r="C111" t="s">
        <v>53</v>
      </c>
      <c r="D111" s="14" t="str">
        <f t="shared" si="18"/>
        <v xml:space="preserve">john silver  </v>
      </c>
      <c r="E111" s="14" t="str">
        <f t="shared" si="19"/>
        <v xml:space="preserve">John Silver  </v>
      </c>
      <c r="F111" s="14" t="str">
        <f t="shared" si="20"/>
        <v xml:space="preserve">JOHN SILVER  </v>
      </c>
      <c r="G111" s="14" t="str">
        <f t="shared" si="21"/>
        <v xml:space="preserve">john silver  </v>
      </c>
      <c r="H111" s="14" t="str">
        <f t="shared" si="22"/>
        <v>John Silver</v>
      </c>
      <c r="I111" s="14" t="str">
        <f t="shared" si="23"/>
        <v>John Silver</v>
      </c>
      <c r="J111" s="14"/>
      <c r="K111" s="14"/>
      <c r="L111" s="14"/>
      <c r="M111" s="14"/>
      <c r="N111" s="14"/>
    </row>
    <row r="112" spans="1:14" x14ac:dyDescent="0.3">
      <c r="A112">
        <v>9847760</v>
      </c>
      <c r="B112" t="s">
        <v>60</v>
      </c>
      <c r="C112" t="s">
        <v>61</v>
      </c>
      <c r="D112" s="14" t="str">
        <f t="shared" si="18"/>
        <v xml:space="preserve">andrew lim  </v>
      </c>
      <c r="E112" s="14" t="str">
        <f t="shared" si="19"/>
        <v xml:space="preserve">Andrew Lim  </v>
      </c>
      <c r="F112" s="14" t="str">
        <f t="shared" si="20"/>
        <v xml:space="preserve">ANDREW LIM  </v>
      </c>
      <c r="G112" s="14" t="str">
        <f t="shared" si="21"/>
        <v xml:space="preserve">andrew lim  </v>
      </c>
      <c r="H112" s="14" t="str">
        <f t="shared" si="22"/>
        <v>Andrew Lim</v>
      </c>
      <c r="I112" s="14" t="str">
        <f t="shared" si="23"/>
        <v>Andrew Lim</v>
      </c>
      <c r="J112" s="14"/>
      <c r="K112" s="14"/>
      <c r="L112" s="14"/>
      <c r="M112" s="14"/>
      <c r="N112" s="14"/>
    </row>
    <row r="113" spans="1:14" x14ac:dyDescent="0.3">
      <c r="A113">
        <v>4862491</v>
      </c>
      <c r="B113" t="s">
        <v>66</v>
      </c>
      <c r="C113" t="s">
        <v>67</v>
      </c>
      <c r="D113" s="14" t="str">
        <f t="shared" si="18"/>
        <v xml:space="preserve">reuben long  </v>
      </c>
      <c r="E113" s="14" t="str">
        <f t="shared" si="19"/>
        <v xml:space="preserve">Reuben Long  </v>
      </c>
      <c r="F113" s="14" t="str">
        <f t="shared" si="20"/>
        <v xml:space="preserve">REUBEN LONG  </v>
      </c>
      <c r="G113" s="14" t="str">
        <f t="shared" si="21"/>
        <v xml:space="preserve">reuben long  </v>
      </c>
      <c r="H113" s="14" t="str">
        <f t="shared" si="22"/>
        <v>Reuben Long</v>
      </c>
      <c r="I113" s="14" t="str">
        <f t="shared" si="23"/>
        <v>Reuben Long</v>
      </c>
      <c r="J113" s="14"/>
      <c r="K113" s="14"/>
      <c r="L113" s="14"/>
      <c r="M113" s="14"/>
      <c r="N113" s="14"/>
    </row>
    <row r="114" spans="1:14" x14ac:dyDescent="0.3">
      <c r="A114">
        <v>1061527</v>
      </c>
      <c r="B114" t="s">
        <v>50</v>
      </c>
      <c r="C114" t="s">
        <v>51</v>
      </c>
      <c r="D114" s="14" t="str">
        <f t="shared" si="18"/>
        <v xml:space="preserve">ana nacho  </v>
      </c>
      <c r="E114" s="14" t="str">
        <f t="shared" si="19"/>
        <v xml:space="preserve">Ana Nacho  </v>
      </c>
      <c r="F114" s="14" t="str">
        <f t="shared" si="20"/>
        <v xml:space="preserve">ANA NACHO  </v>
      </c>
      <c r="G114" s="14" t="str">
        <f t="shared" si="21"/>
        <v xml:space="preserve">ana nacho  </v>
      </c>
      <c r="H114" s="14" t="str">
        <f t="shared" si="22"/>
        <v>Ana Nacho</v>
      </c>
      <c r="I114" s="14" t="str">
        <f t="shared" si="23"/>
        <v>Ana Nacho</v>
      </c>
      <c r="J114" s="14"/>
      <c r="K114" s="14"/>
      <c r="L114" s="14"/>
      <c r="M114" s="14"/>
      <c r="N114" s="14"/>
    </row>
    <row r="115" spans="1:14" x14ac:dyDescent="0.3">
      <c r="A115">
        <v>7824934</v>
      </c>
      <c r="B115" t="s">
        <v>52</v>
      </c>
      <c r="C115" t="s">
        <v>53</v>
      </c>
      <c r="D115" s="14" t="str">
        <f t="shared" si="18"/>
        <v xml:space="preserve">john silver  </v>
      </c>
      <c r="E115" s="14" t="str">
        <f t="shared" si="19"/>
        <v xml:space="preserve">John Silver  </v>
      </c>
      <c r="F115" s="14" t="str">
        <f t="shared" si="20"/>
        <v xml:space="preserve">JOHN SILVER  </v>
      </c>
      <c r="G115" s="14" t="str">
        <f t="shared" si="21"/>
        <v xml:space="preserve">john silver  </v>
      </c>
      <c r="H115" s="14" t="str">
        <f t="shared" si="22"/>
        <v>John Silver</v>
      </c>
      <c r="I115" s="14" t="str">
        <f t="shared" si="23"/>
        <v>John Silver</v>
      </c>
      <c r="J115" s="14"/>
      <c r="K115" s="14"/>
      <c r="L115" s="14"/>
      <c r="M115" s="14"/>
      <c r="N115" s="14"/>
    </row>
    <row r="116" spans="1:14" x14ac:dyDescent="0.3">
      <c r="A116">
        <v>9914339</v>
      </c>
      <c r="B116" t="s">
        <v>56</v>
      </c>
      <c r="C116" t="s">
        <v>57</v>
      </c>
      <c r="D116" s="14" t="str">
        <f t="shared" si="18"/>
        <v xml:space="preserve">phil kane  </v>
      </c>
      <c r="E116" s="14" t="str">
        <f t="shared" si="19"/>
        <v xml:space="preserve">Phil Kane  </v>
      </c>
      <c r="F116" s="14" t="str">
        <f t="shared" si="20"/>
        <v xml:space="preserve">PHIL KANE  </v>
      </c>
      <c r="G116" s="14" t="str">
        <f t="shared" si="21"/>
        <v xml:space="preserve">phil kane  </v>
      </c>
      <c r="H116" s="14" t="str">
        <f t="shared" si="22"/>
        <v>Phil Kane</v>
      </c>
      <c r="I116" s="14" t="str">
        <f t="shared" si="23"/>
        <v>Phil Kane</v>
      </c>
      <c r="J116" s="14"/>
      <c r="K116" s="14"/>
      <c r="L116" s="14"/>
      <c r="M116" s="14"/>
      <c r="N116" s="14"/>
    </row>
    <row r="117" spans="1:14" x14ac:dyDescent="0.3">
      <c r="A117">
        <v>4308684</v>
      </c>
      <c r="B117" t="s">
        <v>50</v>
      </c>
      <c r="C117" t="s">
        <v>51</v>
      </c>
      <c r="D117" s="14" t="str">
        <f t="shared" si="18"/>
        <v xml:space="preserve">ana nacho  </v>
      </c>
      <c r="E117" s="14" t="str">
        <f t="shared" si="19"/>
        <v xml:space="preserve">Ana Nacho  </v>
      </c>
      <c r="F117" s="14" t="str">
        <f t="shared" si="20"/>
        <v xml:space="preserve">ANA NACHO  </v>
      </c>
      <c r="G117" s="14" t="str">
        <f t="shared" si="21"/>
        <v xml:space="preserve">ana nacho  </v>
      </c>
      <c r="H117" s="14" t="str">
        <f t="shared" si="22"/>
        <v>Ana Nacho</v>
      </c>
      <c r="I117" s="14" t="str">
        <f t="shared" si="23"/>
        <v>Ana Nacho</v>
      </c>
      <c r="J117" s="14"/>
      <c r="K117" s="14"/>
      <c r="L117" s="14"/>
      <c r="M117" s="14"/>
      <c r="N117" s="14"/>
    </row>
    <row r="118" spans="1:14" x14ac:dyDescent="0.3">
      <c r="A118">
        <v>1083252</v>
      </c>
      <c r="B118" t="s">
        <v>50</v>
      </c>
      <c r="C118" t="s">
        <v>51</v>
      </c>
      <c r="D118" s="14" t="str">
        <f t="shared" si="18"/>
        <v xml:space="preserve">ana nacho  </v>
      </c>
      <c r="E118" s="14" t="str">
        <f t="shared" si="19"/>
        <v xml:space="preserve">Ana Nacho  </v>
      </c>
      <c r="F118" s="14" t="str">
        <f t="shared" si="20"/>
        <v xml:space="preserve">ANA NACHO  </v>
      </c>
      <c r="G118" s="14" t="str">
        <f t="shared" si="21"/>
        <v xml:space="preserve">ana nacho  </v>
      </c>
      <c r="H118" s="14" t="str">
        <f t="shared" si="22"/>
        <v>Ana Nacho</v>
      </c>
      <c r="I118" s="14" t="str">
        <f t="shared" si="23"/>
        <v>Ana Nacho</v>
      </c>
      <c r="J118" s="14"/>
      <c r="K118" s="14"/>
      <c r="L118" s="14"/>
      <c r="M118" s="14"/>
      <c r="N118" s="14"/>
    </row>
    <row r="119" spans="1:14" x14ac:dyDescent="0.3">
      <c r="A119">
        <v>7132999</v>
      </c>
      <c r="B119" t="s">
        <v>62</v>
      </c>
      <c r="C119" t="s">
        <v>63</v>
      </c>
      <c r="D119" s="14" t="str">
        <f t="shared" si="18"/>
        <v xml:space="preserve">daniel gulady  </v>
      </c>
      <c r="E119" s="14" t="str">
        <f t="shared" si="19"/>
        <v xml:space="preserve">Daniel Gulady  </v>
      </c>
      <c r="F119" s="14" t="str">
        <f t="shared" si="20"/>
        <v xml:space="preserve">DANIEL GULADY  </v>
      </c>
      <c r="G119" s="14" t="str">
        <f t="shared" si="21"/>
        <v xml:space="preserve">daniel gulady  </v>
      </c>
      <c r="H119" s="14" t="str">
        <f t="shared" si="22"/>
        <v>Daniel Gulady</v>
      </c>
      <c r="I119" s="14" t="str">
        <f t="shared" si="23"/>
        <v>Daniel Gulady</v>
      </c>
      <c r="J119" s="14"/>
      <c r="K119" s="14"/>
      <c r="L119" s="14"/>
      <c r="M119" s="14"/>
      <c r="N119" s="14"/>
    </row>
    <row r="120" spans="1:14" x14ac:dyDescent="0.3">
      <c r="A120">
        <v>4317696</v>
      </c>
      <c r="B120" t="s">
        <v>52</v>
      </c>
      <c r="C120" t="s">
        <v>53</v>
      </c>
      <c r="D120" s="14" t="str">
        <f t="shared" si="18"/>
        <v xml:space="preserve">john silver  </v>
      </c>
      <c r="E120" s="14" t="str">
        <f t="shared" si="19"/>
        <v xml:space="preserve">John Silver  </v>
      </c>
      <c r="F120" s="14" t="str">
        <f t="shared" si="20"/>
        <v xml:space="preserve">JOHN SILVER  </v>
      </c>
      <c r="G120" s="14" t="str">
        <f t="shared" si="21"/>
        <v xml:space="preserve">john silver  </v>
      </c>
      <c r="H120" s="14" t="str">
        <f t="shared" si="22"/>
        <v>John Silver</v>
      </c>
      <c r="I120" s="14" t="str">
        <f t="shared" si="23"/>
        <v>John Silver</v>
      </c>
      <c r="J120" s="14"/>
      <c r="K120" s="14"/>
      <c r="L120" s="14"/>
      <c r="M120" s="14"/>
      <c r="N120" s="14"/>
    </row>
    <row r="121" spans="1:14" x14ac:dyDescent="0.3">
      <c r="A121">
        <v>1112082</v>
      </c>
      <c r="B121" t="s">
        <v>60</v>
      </c>
      <c r="C121" t="s">
        <v>61</v>
      </c>
      <c r="D121" s="14" t="str">
        <f t="shared" si="18"/>
        <v xml:space="preserve">andrew lim  </v>
      </c>
      <c r="E121" s="14" t="str">
        <f t="shared" si="19"/>
        <v xml:space="preserve">Andrew Lim  </v>
      </c>
      <c r="F121" s="14" t="str">
        <f t="shared" si="20"/>
        <v xml:space="preserve">ANDREW LIM  </v>
      </c>
      <c r="G121" s="14" t="str">
        <f t="shared" si="21"/>
        <v xml:space="preserve">andrew lim  </v>
      </c>
      <c r="H121" s="14" t="str">
        <f t="shared" si="22"/>
        <v>Andrew Lim</v>
      </c>
      <c r="I121" s="14" t="str">
        <f t="shared" si="23"/>
        <v>Andrew Lim</v>
      </c>
      <c r="J121" s="14"/>
      <c r="K121" s="14"/>
      <c r="L121" s="14"/>
      <c r="M121" s="14"/>
      <c r="N121" s="14"/>
    </row>
    <row r="122" spans="1:14" x14ac:dyDescent="0.3">
      <c r="A122">
        <v>9810605</v>
      </c>
      <c r="B122" t="s">
        <v>84</v>
      </c>
      <c r="C122" t="s">
        <v>85</v>
      </c>
      <c r="D122" s="14" t="str">
        <f t="shared" si="18"/>
        <v xml:space="preserve">unlimited learning  </v>
      </c>
      <c r="E122" s="14" t="str">
        <f t="shared" si="19"/>
        <v xml:space="preserve">Unlimited Learning  </v>
      </c>
      <c r="F122" s="14" t="str">
        <f t="shared" si="20"/>
        <v xml:space="preserve">UNLIMITED LEARNING  </v>
      </c>
      <c r="G122" s="14" t="str">
        <f t="shared" si="21"/>
        <v xml:space="preserve">unlimited learning  </v>
      </c>
      <c r="H122" s="14" t="str">
        <f t="shared" si="22"/>
        <v>Unlimited Learning</v>
      </c>
      <c r="I122" s="14" t="str">
        <f t="shared" si="23"/>
        <v>Unlimited Learning</v>
      </c>
      <c r="J122" s="14"/>
      <c r="K122" s="14"/>
      <c r="L122" s="14"/>
      <c r="M122" s="14"/>
      <c r="N122" s="14"/>
    </row>
    <row r="123" spans="1:14" x14ac:dyDescent="0.3">
      <c r="A123">
        <v>8591107</v>
      </c>
      <c r="B123" t="s">
        <v>48</v>
      </c>
      <c r="C123" t="s">
        <v>49</v>
      </c>
      <c r="D123" s="14" t="str">
        <f t="shared" si="18"/>
        <v xml:space="preserve">michael jones  </v>
      </c>
      <c r="E123" s="14" t="str">
        <f t="shared" si="19"/>
        <v xml:space="preserve">Michael Jones  </v>
      </c>
      <c r="F123" s="14" t="str">
        <f t="shared" si="20"/>
        <v xml:space="preserve">MICHAEL JONES  </v>
      </c>
      <c r="G123" s="14" t="str">
        <f t="shared" si="21"/>
        <v xml:space="preserve">michael jones  </v>
      </c>
      <c r="H123" s="14" t="str">
        <f t="shared" si="22"/>
        <v>Michael Jones</v>
      </c>
      <c r="I123" s="14" t="str">
        <f t="shared" si="23"/>
        <v>Michael Jones</v>
      </c>
      <c r="J123" s="14"/>
      <c r="K123" s="14"/>
      <c r="L123" s="14"/>
      <c r="M123" s="14"/>
      <c r="N123" s="14"/>
    </row>
    <row r="124" spans="1:14" x14ac:dyDescent="0.3">
      <c r="A124">
        <v>3373623</v>
      </c>
      <c r="B124" t="s">
        <v>74</v>
      </c>
      <c r="C124" t="s">
        <v>75</v>
      </c>
      <c r="D124" s="14" t="str">
        <f t="shared" si="18"/>
        <v xml:space="preserve">erin monteiro  </v>
      </c>
      <c r="E124" s="14" t="str">
        <f t="shared" si="19"/>
        <v xml:space="preserve">Erin Monteiro  </v>
      </c>
      <c r="F124" s="14" t="str">
        <f t="shared" si="20"/>
        <v xml:space="preserve">ERIN MONTEIRO  </v>
      </c>
      <c r="G124" s="14" t="str">
        <f t="shared" si="21"/>
        <v xml:space="preserve">erin monteiro  </v>
      </c>
      <c r="H124" s="14" t="str">
        <f t="shared" si="22"/>
        <v>Erin Monteiro</v>
      </c>
      <c r="I124" s="14" t="str">
        <f t="shared" si="23"/>
        <v>Erin Monteiro</v>
      </c>
      <c r="J124" s="14"/>
      <c r="K124" s="14"/>
      <c r="L124" s="14"/>
      <c r="M124" s="14"/>
      <c r="N124" s="14"/>
    </row>
    <row r="125" spans="1:14" x14ac:dyDescent="0.3">
      <c r="A125">
        <v>4303108</v>
      </c>
      <c r="B125" t="s">
        <v>58</v>
      </c>
      <c r="C125" t="s">
        <v>59</v>
      </c>
      <c r="D125" s="14" t="str">
        <f t="shared" si="18"/>
        <v xml:space="preserve">angie lee  </v>
      </c>
      <c r="E125" s="14" t="str">
        <f t="shared" si="19"/>
        <v xml:space="preserve">Angie Lee  </v>
      </c>
      <c r="F125" s="14" t="str">
        <f t="shared" si="20"/>
        <v xml:space="preserve">ANGIE LEE  </v>
      </c>
      <c r="G125" s="14" t="str">
        <f t="shared" si="21"/>
        <v xml:space="preserve">angie lee  </v>
      </c>
      <c r="H125" s="14" t="str">
        <f t="shared" si="22"/>
        <v>Angie Lee</v>
      </c>
      <c r="I125" s="14" t="str">
        <f t="shared" si="23"/>
        <v>Angie Lee</v>
      </c>
      <c r="J125" s="14"/>
      <c r="K125" s="14"/>
      <c r="L125" s="14"/>
      <c r="M125" s="14"/>
      <c r="N125" s="14"/>
    </row>
    <row r="126" spans="1:14" x14ac:dyDescent="0.3">
      <c r="A126">
        <v>9545479</v>
      </c>
      <c r="B126" t="s">
        <v>72</v>
      </c>
      <c r="C126" t="s">
        <v>73</v>
      </c>
      <c r="D126" s="14" t="str">
        <f t="shared" si="18"/>
        <v xml:space="preserve">jack sparrow  </v>
      </c>
      <c r="E126" s="14" t="str">
        <f t="shared" si="19"/>
        <v xml:space="preserve">Jack Sparrow  </v>
      </c>
      <c r="F126" s="14" t="str">
        <f t="shared" si="20"/>
        <v xml:space="preserve">JACK SPARROW  </v>
      </c>
      <c r="G126" s="14" t="str">
        <f t="shared" si="21"/>
        <v xml:space="preserve">jack sparrow  </v>
      </c>
      <c r="H126" s="14" t="str">
        <f t="shared" si="22"/>
        <v>Jack Sparrow</v>
      </c>
      <c r="I126" s="14" t="str">
        <f t="shared" si="23"/>
        <v>Jack Sparrow</v>
      </c>
      <c r="J126" s="14"/>
      <c r="K126" s="14"/>
      <c r="L126" s="14"/>
      <c r="M126" s="14"/>
      <c r="N126" s="14"/>
    </row>
    <row r="127" spans="1:14" x14ac:dyDescent="0.3">
      <c r="A127">
        <v>3949968</v>
      </c>
      <c r="B127" t="s">
        <v>68</v>
      </c>
      <c r="C127" t="s">
        <v>69</v>
      </c>
      <c r="D127" s="14" t="str">
        <f t="shared" si="18"/>
        <v xml:space="preserve">melissa straw  </v>
      </c>
      <c r="E127" s="14" t="str">
        <f t="shared" si="19"/>
        <v xml:space="preserve">Melissa Straw  </v>
      </c>
      <c r="F127" s="14" t="str">
        <f t="shared" si="20"/>
        <v xml:space="preserve">MELISSA STRAW  </v>
      </c>
      <c r="G127" s="14" t="str">
        <f t="shared" si="21"/>
        <v xml:space="preserve">melissa straw  </v>
      </c>
      <c r="H127" s="14" t="str">
        <f t="shared" si="22"/>
        <v>Melissa Straw</v>
      </c>
      <c r="I127" s="14" t="str">
        <f t="shared" si="23"/>
        <v>Melissa Straw</v>
      </c>
      <c r="J127" s="14"/>
      <c r="K127" s="14"/>
      <c r="L127" s="14"/>
      <c r="M127" s="14"/>
      <c r="N127" s="14"/>
    </row>
    <row r="128" spans="1:14" x14ac:dyDescent="0.3">
      <c r="A128">
        <v>6861653</v>
      </c>
      <c r="B128" t="s">
        <v>68</v>
      </c>
      <c r="C128" t="s">
        <v>69</v>
      </c>
      <c r="D128" s="14" t="str">
        <f t="shared" si="18"/>
        <v xml:space="preserve">melissa straw  </v>
      </c>
      <c r="E128" s="14" t="str">
        <f t="shared" si="19"/>
        <v xml:space="preserve">Melissa Straw  </v>
      </c>
      <c r="F128" s="14" t="str">
        <f t="shared" si="20"/>
        <v xml:space="preserve">MELISSA STRAW  </v>
      </c>
      <c r="G128" s="14" t="str">
        <f t="shared" si="21"/>
        <v xml:space="preserve">melissa straw  </v>
      </c>
      <c r="H128" s="14" t="str">
        <f t="shared" si="22"/>
        <v>Melissa Straw</v>
      </c>
      <c r="I128" s="14" t="str">
        <f t="shared" si="23"/>
        <v>Melissa Straw</v>
      </c>
      <c r="J128" s="14"/>
      <c r="K128" s="14"/>
      <c r="L128" s="14"/>
      <c r="M128" s="14"/>
      <c r="N128" s="14"/>
    </row>
    <row r="129" spans="1:14" x14ac:dyDescent="0.3">
      <c r="A129">
        <v>9617531</v>
      </c>
      <c r="B129" t="s">
        <v>82</v>
      </c>
      <c r="C129" t="s">
        <v>83</v>
      </c>
      <c r="D129" s="14" t="str">
        <f t="shared" si="18"/>
        <v xml:space="preserve">jenny furlong  </v>
      </c>
      <c r="E129" s="14" t="str">
        <f t="shared" si="19"/>
        <v xml:space="preserve">Jenny Furlong  </v>
      </c>
      <c r="F129" s="14" t="str">
        <f t="shared" si="20"/>
        <v xml:space="preserve">JENNY FURLONG  </v>
      </c>
      <c r="G129" s="14" t="str">
        <f t="shared" si="21"/>
        <v xml:space="preserve">jenny furlong  </v>
      </c>
      <c r="H129" s="14" t="str">
        <f t="shared" si="22"/>
        <v>Jenny Furlong</v>
      </c>
      <c r="I129" s="14" t="str">
        <f t="shared" si="23"/>
        <v>Jenny Furlong</v>
      </c>
      <c r="J129" s="14"/>
      <c r="K129" s="14"/>
      <c r="L129" s="14"/>
      <c r="M129" s="14"/>
      <c r="N129" s="14"/>
    </row>
    <row r="130" spans="1:14" x14ac:dyDescent="0.3">
      <c r="A130">
        <v>1588201</v>
      </c>
      <c r="B130" t="s">
        <v>54</v>
      </c>
      <c r="C130" t="s">
        <v>55</v>
      </c>
      <c r="D130" s="14" t="str">
        <f t="shared" si="18"/>
        <v xml:space="preserve">liz soomin  </v>
      </c>
      <c r="E130" s="14" t="str">
        <f t="shared" si="19"/>
        <v xml:space="preserve">Liz Soomin  </v>
      </c>
      <c r="F130" s="14" t="str">
        <f t="shared" si="20"/>
        <v xml:space="preserve">LIZ SOOMIN  </v>
      </c>
      <c r="G130" s="14" t="str">
        <f t="shared" si="21"/>
        <v xml:space="preserve">liz soomin  </v>
      </c>
      <c r="H130" s="14" t="str">
        <f t="shared" si="22"/>
        <v>Liz Soomin</v>
      </c>
      <c r="I130" s="14" t="str">
        <f t="shared" si="23"/>
        <v>Liz Soomin</v>
      </c>
      <c r="J130" s="14"/>
      <c r="K130" s="14"/>
      <c r="L130" s="14"/>
      <c r="M130" s="14"/>
      <c r="N130" s="14"/>
    </row>
    <row r="131" spans="1:14" x14ac:dyDescent="0.3">
      <c r="A131">
        <v>9289725</v>
      </c>
      <c r="B131" t="s">
        <v>56</v>
      </c>
      <c r="C131" t="s">
        <v>57</v>
      </c>
      <c r="D131" s="14" t="str">
        <f t="shared" si="18"/>
        <v xml:space="preserve">phil kane  </v>
      </c>
      <c r="E131" s="14" t="str">
        <f t="shared" si="19"/>
        <v xml:space="preserve">Phil Kane  </v>
      </c>
      <c r="F131" s="14" t="str">
        <f t="shared" si="20"/>
        <v xml:space="preserve">PHIL KANE  </v>
      </c>
      <c r="G131" s="14" t="str">
        <f t="shared" si="21"/>
        <v xml:space="preserve">phil kane  </v>
      </c>
      <c r="H131" s="14" t="str">
        <f t="shared" si="22"/>
        <v>Phil Kane</v>
      </c>
      <c r="I131" s="14" t="str">
        <f t="shared" si="23"/>
        <v>Phil Kane</v>
      </c>
      <c r="J131" s="14"/>
      <c r="K131" s="14"/>
      <c r="L131" s="14"/>
      <c r="M131" s="14"/>
      <c r="N131" s="14"/>
    </row>
    <row r="132" spans="1:14" x14ac:dyDescent="0.3">
      <c r="A132">
        <v>6472691</v>
      </c>
      <c r="B132" t="s">
        <v>64</v>
      </c>
      <c r="C132" t="s">
        <v>65</v>
      </c>
      <c r="D132" s="14" t="str">
        <f t="shared" si="18"/>
        <v xml:space="preserve">helen bison  </v>
      </c>
      <c r="E132" s="14" t="str">
        <f t="shared" si="19"/>
        <v xml:space="preserve">Helen Bison  </v>
      </c>
      <c r="F132" s="14" t="str">
        <f t="shared" si="20"/>
        <v xml:space="preserve">HELEN BISON  </v>
      </c>
      <c r="G132" s="14" t="str">
        <f t="shared" si="21"/>
        <v xml:space="preserve">helen bison  </v>
      </c>
      <c r="H132" s="14" t="str">
        <f t="shared" si="22"/>
        <v>Helen Bison</v>
      </c>
      <c r="I132" s="14" t="str">
        <f t="shared" si="23"/>
        <v>Helen Bison</v>
      </c>
      <c r="J132" s="14"/>
      <c r="K132" s="14"/>
      <c r="L132" s="14"/>
      <c r="M132" s="14"/>
      <c r="N132" s="14"/>
    </row>
    <row r="133" spans="1:14" x14ac:dyDescent="0.3">
      <c r="A133">
        <v>8943492</v>
      </c>
      <c r="B133" t="s">
        <v>64</v>
      </c>
      <c r="C133" t="s">
        <v>65</v>
      </c>
      <c r="D133" s="14" t="str">
        <f t="shared" si="18"/>
        <v xml:space="preserve">helen bison  </v>
      </c>
      <c r="E133" s="14" t="str">
        <f t="shared" si="19"/>
        <v xml:space="preserve">Helen Bison  </v>
      </c>
      <c r="F133" s="14" t="str">
        <f t="shared" si="20"/>
        <v xml:space="preserve">HELEN BISON  </v>
      </c>
      <c r="G133" s="14" t="str">
        <f t="shared" si="21"/>
        <v xml:space="preserve">helen bison  </v>
      </c>
      <c r="H133" s="14" t="str">
        <f t="shared" si="22"/>
        <v>Helen Bison</v>
      </c>
      <c r="I133" s="14" t="str">
        <f t="shared" si="23"/>
        <v>Helen Bison</v>
      </c>
      <c r="J133" s="14"/>
      <c r="K133" s="14"/>
      <c r="L133" s="14"/>
      <c r="M133" s="14"/>
      <c r="N133" s="14"/>
    </row>
    <row r="134" spans="1:14" x14ac:dyDescent="0.3">
      <c r="A134">
        <v>2299600</v>
      </c>
      <c r="B134" t="s">
        <v>86</v>
      </c>
      <c r="C134" t="s">
        <v>61</v>
      </c>
      <c r="D134" s="14" t="str">
        <f t="shared" ref="D134:D160" si="24">CONCATENATE(C134,B134)</f>
        <v xml:space="preserve">andrew fox  </v>
      </c>
      <c r="E134" s="14" t="str">
        <f t="shared" ref="E134:E160" si="25">PROPER(D134)</f>
        <v xml:space="preserve">Andrew Fox  </v>
      </c>
      <c r="F134" s="14" t="str">
        <f t="shared" ref="F134:F160" si="26">UPPER(E134)</f>
        <v xml:space="preserve">ANDREW FOX  </v>
      </c>
      <c r="G134" s="14" t="str">
        <f t="shared" ref="G134:G160" si="27">LOWER(D134)</f>
        <v xml:space="preserve">andrew fox  </v>
      </c>
      <c r="H134" s="14" t="str">
        <f t="shared" ref="H134:H160" si="28">TRIM(E134)</f>
        <v>Andrew Fox</v>
      </c>
      <c r="I134" s="14" t="str">
        <f t="shared" ref="I134:I160" si="29">TRIM(PROPER(CONCATENATE(C134," ",B134)))</f>
        <v>Andrew Fox</v>
      </c>
      <c r="J134" s="14"/>
      <c r="K134" s="14"/>
      <c r="L134" s="14"/>
      <c r="M134" s="14"/>
      <c r="N134" s="14"/>
    </row>
    <row r="135" spans="1:14" x14ac:dyDescent="0.3">
      <c r="A135">
        <v>3966406</v>
      </c>
      <c r="B135" t="s">
        <v>82</v>
      </c>
      <c r="C135" t="s">
        <v>83</v>
      </c>
      <c r="D135" s="14" t="str">
        <f t="shared" si="24"/>
        <v xml:space="preserve">jenny furlong  </v>
      </c>
      <c r="E135" s="14" t="str">
        <f t="shared" si="25"/>
        <v xml:space="preserve">Jenny Furlong  </v>
      </c>
      <c r="F135" s="14" t="str">
        <f t="shared" si="26"/>
        <v xml:space="preserve">JENNY FURLONG  </v>
      </c>
      <c r="G135" s="14" t="str">
        <f t="shared" si="27"/>
        <v xml:space="preserve">jenny furlong  </v>
      </c>
      <c r="H135" s="14" t="str">
        <f t="shared" si="28"/>
        <v>Jenny Furlong</v>
      </c>
      <c r="I135" s="14" t="str">
        <f t="shared" si="29"/>
        <v>Jenny Furlong</v>
      </c>
      <c r="J135" s="14"/>
      <c r="K135" s="14"/>
      <c r="L135" s="14"/>
      <c r="M135" s="14"/>
      <c r="N135" s="14"/>
    </row>
    <row r="136" spans="1:14" x14ac:dyDescent="0.3">
      <c r="A136">
        <v>6382675</v>
      </c>
      <c r="B136" t="s">
        <v>52</v>
      </c>
      <c r="C136" t="s">
        <v>53</v>
      </c>
      <c r="D136" s="14" t="str">
        <f t="shared" si="24"/>
        <v xml:space="preserve">john silver  </v>
      </c>
      <c r="E136" s="14" t="str">
        <f t="shared" si="25"/>
        <v xml:space="preserve">John Silver  </v>
      </c>
      <c r="F136" s="14" t="str">
        <f t="shared" si="26"/>
        <v xml:space="preserve">JOHN SILVER  </v>
      </c>
      <c r="G136" s="14" t="str">
        <f t="shared" si="27"/>
        <v xml:space="preserve">john silver  </v>
      </c>
      <c r="H136" s="14" t="str">
        <f t="shared" si="28"/>
        <v>John Silver</v>
      </c>
      <c r="I136" s="14" t="str">
        <f t="shared" si="29"/>
        <v>John Silver</v>
      </c>
      <c r="J136" s="14"/>
      <c r="K136" s="14"/>
      <c r="L136" s="14"/>
      <c r="M136" s="14"/>
      <c r="N136" s="14"/>
    </row>
    <row r="137" spans="1:14" x14ac:dyDescent="0.3">
      <c r="A137">
        <v>7925131</v>
      </c>
      <c r="B137" t="s">
        <v>60</v>
      </c>
      <c r="C137" t="s">
        <v>61</v>
      </c>
      <c r="D137" s="14" t="str">
        <f t="shared" si="24"/>
        <v xml:space="preserve">andrew lim  </v>
      </c>
      <c r="E137" s="14" t="str">
        <f t="shared" si="25"/>
        <v xml:space="preserve">Andrew Lim  </v>
      </c>
      <c r="F137" s="14" t="str">
        <f t="shared" si="26"/>
        <v xml:space="preserve">ANDREW LIM  </v>
      </c>
      <c r="G137" s="14" t="str">
        <f t="shared" si="27"/>
        <v xml:space="preserve">andrew lim  </v>
      </c>
      <c r="H137" s="14" t="str">
        <f t="shared" si="28"/>
        <v>Andrew Lim</v>
      </c>
      <c r="I137" s="14" t="str">
        <f t="shared" si="29"/>
        <v>Andrew Lim</v>
      </c>
      <c r="J137" s="14"/>
      <c r="K137" s="14"/>
      <c r="L137" s="14"/>
      <c r="M137" s="14"/>
      <c r="N137" s="14"/>
    </row>
    <row r="138" spans="1:14" x14ac:dyDescent="0.3">
      <c r="A138">
        <v>7713015</v>
      </c>
      <c r="B138" t="s">
        <v>52</v>
      </c>
      <c r="C138" t="s">
        <v>53</v>
      </c>
      <c r="D138" s="14" t="str">
        <f t="shared" si="24"/>
        <v xml:space="preserve">john silver  </v>
      </c>
      <c r="E138" s="14" t="str">
        <f t="shared" si="25"/>
        <v xml:space="preserve">John Silver  </v>
      </c>
      <c r="F138" s="14" t="str">
        <f t="shared" si="26"/>
        <v xml:space="preserve">JOHN SILVER  </v>
      </c>
      <c r="G138" s="14" t="str">
        <f t="shared" si="27"/>
        <v xml:space="preserve">john silver  </v>
      </c>
      <c r="H138" s="14" t="str">
        <f t="shared" si="28"/>
        <v>John Silver</v>
      </c>
      <c r="I138" s="14" t="str">
        <f t="shared" si="29"/>
        <v>John Silver</v>
      </c>
      <c r="J138" s="14"/>
      <c r="K138" s="14"/>
      <c r="L138" s="14"/>
      <c r="M138" s="14"/>
      <c r="N138" s="14"/>
    </row>
    <row r="139" spans="1:14" x14ac:dyDescent="0.3">
      <c r="A139">
        <v>2437410</v>
      </c>
      <c r="B139" t="s">
        <v>84</v>
      </c>
      <c r="C139" t="s">
        <v>85</v>
      </c>
      <c r="D139" s="14" t="str">
        <f t="shared" si="24"/>
        <v xml:space="preserve">unlimited learning  </v>
      </c>
      <c r="E139" s="14" t="str">
        <f t="shared" si="25"/>
        <v xml:space="preserve">Unlimited Learning  </v>
      </c>
      <c r="F139" s="14" t="str">
        <f t="shared" si="26"/>
        <v xml:space="preserve">UNLIMITED LEARNING  </v>
      </c>
      <c r="G139" s="14" t="str">
        <f t="shared" si="27"/>
        <v xml:space="preserve">unlimited learning  </v>
      </c>
      <c r="H139" s="14" t="str">
        <f t="shared" si="28"/>
        <v>Unlimited Learning</v>
      </c>
      <c r="I139" s="14" t="str">
        <f t="shared" si="29"/>
        <v>Unlimited Learning</v>
      </c>
      <c r="J139" s="14"/>
      <c r="K139" s="14"/>
      <c r="L139" s="14"/>
      <c r="M139" s="14"/>
      <c r="N139" s="14"/>
    </row>
    <row r="140" spans="1:14" x14ac:dyDescent="0.3">
      <c r="A140">
        <v>2776355</v>
      </c>
      <c r="B140" t="s">
        <v>66</v>
      </c>
      <c r="C140" t="s">
        <v>67</v>
      </c>
      <c r="D140" s="14" t="str">
        <f t="shared" si="24"/>
        <v xml:space="preserve">reuben long  </v>
      </c>
      <c r="E140" s="14" t="str">
        <f t="shared" si="25"/>
        <v xml:space="preserve">Reuben Long  </v>
      </c>
      <c r="F140" s="14" t="str">
        <f t="shared" si="26"/>
        <v xml:space="preserve">REUBEN LONG  </v>
      </c>
      <c r="G140" s="14" t="str">
        <f t="shared" si="27"/>
        <v xml:space="preserve">reuben long  </v>
      </c>
      <c r="H140" s="14" t="str">
        <f t="shared" si="28"/>
        <v>Reuben Long</v>
      </c>
      <c r="I140" s="14" t="str">
        <f t="shared" si="29"/>
        <v>Reuben Long</v>
      </c>
      <c r="J140" s="14"/>
      <c r="K140" s="14"/>
      <c r="L140" s="14"/>
      <c r="M140" s="14"/>
      <c r="N140" s="14"/>
    </row>
    <row r="141" spans="1:14" x14ac:dyDescent="0.3">
      <c r="A141">
        <v>2774540</v>
      </c>
      <c r="B141" t="s">
        <v>82</v>
      </c>
      <c r="C141" t="s">
        <v>83</v>
      </c>
      <c r="D141" s="14" t="str">
        <f t="shared" si="24"/>
        <v xml:space="preserve">jenny furlong  </v>
      </c>
      <c r="E141" s="14" t="str">
        <f t="shared" si="25"/>
        <v xml:space="preserve">Jenny Furlong  </v>
      </c>
      <c r="F141" s="14" t="str">
        <f t="shared" si="26"/>
        <v xml:space="preserve">JENNY FURLONG  </v>
      </c>
      <c r="G141" s="14" t="str">
        <f t="shared" si="27"/>
        <v xml:space="preserve">jenny furlong  </v>
      </c>
      <c r="H141" s="14" t="str">
        <f t="shared" si="28"/>
        <v>Jenny Furlong</v>
      </c>
      <c r="I141" s="14" t="str">
        <f t="shared" si="29"/>
        <v>Jenny Furlong</v>
      </c>
      <c r="J141" s="14"/>
      <c r="K141" s="14"/>
      <c r="L141" s="14"/>
      <c r="M141" s="14"/>
      <c r="N141" s="14"/>
    </row>
    <row r="142" spans="1:14" x14ac:dyDescent="0.3">
      <c r="A142">
        <v>6131576</v>
      </c>
      <c r="B142" t="s">
        <v>52</v>
      </c>
      <c r="C142" t="s">
        <v>53</v>
      </c>
      <c r="D142" s="14" t="str">
        <f t="shared" si="24"/>
        <v xml:space="preserve">john silver  </v>
      </c>
      <c r="E142" s="14" t="str">
        <f t="shared" si="25"/>
        <v xml:space="preserve">John Silver  </v>
      </c>
      <c r="F142" s="14" t="str">
        <f t="shared" si="26"/>
        <v xml:space="preserve">JOHN SILVER  </v>
      </c>
      <c r="G142" s="14" t="str">
        <f t="shared" si="27"/>
        <v xml:space="preserve">john silver  </v>
      </c>
      <c r="H142" s="14" t="str">
        <f t="shared" si="28"/>
        <v>John Silver</v>
      </c>
      <c r="I142" s="14" t="str">
        <f t="shared" si="29"/>
        <v>John Silver</v>
      </c>
      <c r="J142" s="14"/>
      <c r="K142" s="14"/>
      <c r="L142" s="14"/>
      <c r="M142" s="14"/>
      <c r="N142" s="14"/>
    </row>
    <row r="143" spans="1:14" x14ac:dyDescent="0.3">
      <c r="A143">
        <v>4308759</v>
      </c>
      <c r="B143" t="s">
        <v>60</v>
      </c>
      <c r="C143" t="s">
        <v>61</v>
      </c>
      <c r="D143" s="14" t="str">
        <f t="shared" si="24"/>
        <v xml:space="preserve">andrew lim  </v>
      </c>
      <c r="E143" s="14" t="str">
        <f t="shared" si="25"/>
        <v xml:space="preserve">Andrew Lim  </v>
      </c>
      <c r="F143" s="14" t="str">
        <f t="shared" si="26"/>
        <v xml:space="preserve">ANDREW LIM  </v>
      </c>
      <c r="G143" s="14" t="str">
        <f t="shared" si="27"/>
        <v xml:space="preserve">andrew lim  </v>
      </c>
      <c r="H143" s="14" t="str">
        <f t="shared" si="28"/>
        <v>Andrew Lim</v>
      </c>
      <c r="I143" s="14" t="str">
        <f t="shared" si="29"/>
        <v>Andrew Lim</v>
      </c>
      <c r="J143" s="14"/>
      <c r="K143" s="14"/>
      <c r="L143" s="14"/>
      <c r="M143" s="14"/>
      <c r="N143" s="14"/>
    </row>
    <row r="144" spans="1:14" x14ac:dyDescent="0.3">
      <c r="A144">
        <v>6312327</v>
      </c>
      <c r="B144" t="s">
        <v>78</v>
      </c>
      <c r="C144" t="s">
        <v>79</v>
      </c>
      <c r="D144" s="14" t="str">
        <f t="shared" si="24"/>
        <v xml:space="preserve">evelyn walters  </v>
      </c>
      <c r="E144" s="14" t="str">
        <f t="shared" si="25"/>
        <v xml:space="preserve">Evelyn Walters  </v>
      </c>
      <c r="F144" s="14" t="str">
        <f t="shared" si="26"/>
        <v xml:space="preserve">EVELYN WALTERS  </v>
      </c>
      <c r="G144" s="14" t="str">
        <f t="shared" si="27"/>
        <v xml:space="preserve">evelyn walters  </v>
      </c>
      <c r="H144" s="14" t="str">
        <f t="shared" si="28"/>
        <v>Evelyn Walters</v>
      </c>
      <c r="I144" s="14" t="str">
        <f t="shared" si="29"/>
        <v>Evelyn Walters</v>
      </c>
      <c r="J144" s="14"/>
      <c r="K144" s="14"/>
      <c r="L144" s="14"/>
      <c r="M144" s="14"/>
      <c r="N144" s="14"/>
    </row>
    <row r="145" spans="1:14" x14ac:dyDescent="0.3">
      <c r="A145">
        <v>5553821</v>
      </c>
      <c r="B145" t="s">
        <v>50</v>
      </c>
      <c r="C145" t="s">
        <v>51</v>
      </c>
      <c r="D145" s="14" t="str">
        <f t="shared" si="24"/>
        <v xml:space="preserve">ana nacho  </v>
      </c>
      <c r="E145" s="14" t="str">
        <f t="shared" si="25"/>
        <v xml:space="preserve">Ana Nacho  </v>
      </c>
      <c r="F145" s="14" t="str">
        <f t="shared" si="26"/>
        <v xml:space="preserve">ANA NACHO  </v>
      </c>
      <c r="G145" s="14" t="str">
        <f t="shared" si="27"/>
        <v xml:space="preserve">ana nacho  </v>
      </c>
      <c r="H145" s="14" t="str">
        <f t="shared" si="28"/>
        <v>Ana Nacho</v>
      </c>
      <c r="I145" s="14" t="str">
        <f t="shared" si="29"/>
        <v>Ana Nacho</v>
      </c>
      <c r="J145" s="14"/>
      <c r="K145" s="14"/>
      <c r="L145" s="14"/>
      <c r="M145" s="14"/>
      <c r="N145" s="14"/>
    </row>
    <row r="146" spans="1:14" x14ac:dyDescent="0.3">
      <c r="A146">
        <v>9047006</v>
      </c>
      <c r="B146" t="s">
        <v>82</v>
      </c>
      <c r="C146" t="s">
        <v>83</v>
      </c>
      <c r="D146" s="14" t="str">
        <f t="shared" si="24"/>
        <v xml:space="preserve">jenny furlong  </v>
      </c>
      <c r="E146" s="14" t="str">
        <f t="shared" si="25"/>
        <v xml:space="preserve">Jenny Furlong  </v>
      </c>
      <c r="F146" s="14" t="str">
        <f t="shared" si="26"/>
        <v xml:space="preserve">JENNY FURLONG  </v>
      </c>
      <c r="G146" s="14" t="str">
        <f t="shared" si="27"/>
        <v xml:space="preserve">jenny furlong  </v>
      </c>
      <c r="H146" s="14" t="str">
        <f t="shared" si="28"/>
        <v>Jenny Furlong</v>
      </c>
      <c r="I146" s="14" t="str">
        <f t="shared" si="29"/>
        <v>Jenny Furlong</v>
      </c>
      <c r="J146" s="14"/>
      <c r="K146" s="14"/>
      <c r="L146" s="14"/>
      <c r="M146" s="14"/>
      <c r="N146" s="14"/>
    </row>
    <row r="147" spans="1:14" x14ac:dyDescent="0.3">
      <c r="A147">
        <v>4131328</v>
      </c>
      <c r="B147" t="s">
        <v>82</v>
      </c>
      <c r="C147" t="s">
        <v>83</v>
      </c>
      <c r="D147" s="14" t="str">
        <f t="shared" si="24"/>
        <v xml:space="preserve">jenny furlong  </v>
      </c>
      <c r="E147" s="14" t="str">
        <f t="shared" si="25"/>
        <v xml:space="preserve">Jenny Furlong  </v>
      </c>
      <c r="F147" s="14" t="str">
        <f t="shared" si="26"/>
        <v xml:space="preserve">JENNY FURLONG  </v>
      </c>
      <c r="G147" s="14" t="str">
        <f t="shared" si="27"/>
        <v xml:space="preserve">jenny furlong  </v>
      </c>
      <c r="H147" s="14" t="str">
        <f t="shared" si="28"/>
        <v>Jenny Furlong</v>
      </c>
      <c r="I147" s="14" t="str">
        <f t="shared" si="29"/>
        <v>Jenny Furlong</v>
      </c>
      <c r="J147" s="14"/>
      <c r="K147" s="14"/>
      <c r="L147" s="14"/>
      <c r="M147" s="14"/>
      <c r="N147" s="14"/>
    </row>
    <row r="148" spans="1:14" x14ac:dyDescent="0.3">
      <c r="A148">
        <v>9888103</v>
      </c>
      <c r="B148" t="s">
        <v>62</v>
      </c>
      <c r="C148" t="s">
        <v>63</v>
      </c>
      <c r="D148" s="14" t="str">
        <f t="shared" si="24"/>
        <v xml:space="preserve">daniel gulady  </v>
      </c>
      <c r="E148" s="14" t="str">
        <f t="shared" si="25"/>
        <v xml:space="preserve">Daniel Gulady  </v>
      </c>
      <c r="F148" s="14" t="str">
        <f t="shared" si="26"/>
        <v xml:space="preserve">DANIEL GULADY  </v>
      </c>
      <c r="G148" s="14" t="str">
        <f t="shared" si="27"/>
        <v xml:space="preserve">daniel gulady  </v>
      </c>
      <c r="H148" s="14" t="str">
        <f t="shared" si="28"/>
        <v>Daniel Gulady</v>
      </c>
      <c r="I148" s="14" t="str">
        <f t="shared" si="29"/>
        <v>Daniel Gulady</v>
      </c>
      <c r="J148" s="14"/>
      <c r="K148" s="14"/>
      <c r="L148" s="14"/>
      <c r="M148" s="14"/>
      <c r="N148" s="14"/>
    </row>
    <row r="149" spans="1:14" x14ac:dyDescent="0.3">
      <c r="A149">
        <v>7975145</v>
      </c>
      <c r="B149" t="s">
        <v>68</v>
      </c>
      <c r="C149" t="s">
        <v>69</v>
      </c>
      <c r="D149" s="14" t="str">
        <f t="shared" si="24"/>
        <v xml:space="preserve">melissa straw  </v>
      </c>
      <c r="E149" s="14" t="str">
        <f t="shared" si="25"/>
        <v xml:space="preserve">Melissa Straw  </v>
      </c>
      <c r="F149" s="14" t="str">
        <f t="shared" si="26"/>
        <v xml:space="preserve">MELISSA STRAW  </v>
      </c>
      <c r="G149" s="14" t="str">
        <f t="shared" si="27"/>
        <v xml:space="preserve">melissa straw  </v>
      </c>
      <c r="H149" s="14" t="str">
        <f t="shared" si="28"/>
        <v>Melissa Straw</v>
      </c>
      <c r="I149" s="14" t="str">
        <f t="shared" si="29"/>
        <v>Melissa Straw</v>
      </c>
      <c r="J149" s="14"/>
      <c r="K149" s="14"/>
      <c r="L149" s="14"/>
      <c r="M149" s="14"/>
      <c r="N149" s="14"/>
    </row>
    <row r="150" spans="1:14" x14ac:dyDescent="0.3">
      <c r="A150">
        <v>2436310</v>
      </c>
      <c r="B150" t="s">
        <v>82</v>
      </c>
      <c r="C150" t="s">
        <v>83</v>
      </c>
      <c r="D150" s="14" t="str">
        <f t="shared" si="24"/>
        <v xml:space="preserve">jenny furlong  </v>
      </c>
      <c r="E150" s="14" t="str">
        <f t="shared" si="25"/>
        <v xml:space="preserve">Jenny Furlong  </v>
      </c>
      <c r="F150" s="14" t="str">
        <f t="shared" si="26"/>
        <v xml:space="preserve">JENNY FURLONG  </v>
      </c>
      <c r="G150" s="14" t="str">
        <f t="shared" si="27"/>
        <v xml:space="preserve">jenny furlong  </v>
      </c>
      <c r="H150" s="14" t="str">
        <f t="shared" si="28"/>
        <v>Jenny Furlong</v>
      </c>
      <c r="I150" s="14" t="str">
        <f t="shared" si="29"/>
        <v>Jenny Furlong</v>
      </c>
      <c r="J150" s="14"/>
      <c r="K150" s="14"/>
      <c r="L150" s="14"/>
      <c r="M150" s="14"/>
      <c r="N150" s="14"/>
    </row>
    <row r="151" spans="1:14" x14ac:dyDescent="0.3">
      <c r="A151">
        <v>1256295</v>
      </c>
      <c r="B151" t="s">
        <v>62</v>
      </c>
      <c r="C151" t="s">
        <v>63</v>
      </c>
      <c r="D151" s="14" t="str">
        <f t="shared" si="24"/>
        <v xml:space="preserve">daniel gulady  </v>
      </c>
      <c r="E151" s="14" t="str">
        <f t="shared" si="25"/>
        <v xml:space="preserve">Daniel Gulady  </v>
      </c>
      <c r="F151" s="14" t="str">
        <f t="shared" si="26"/>
        <v xml:space="preserve">DANIEL GULADY  </v>
      </c>
      <c r="G151" s="14" t="str">
        <f t="shared" si="27"/>
        <v xml:space="preserve">daniel gulady  </v>
      </c>
      <c r="H151" s="14" t="str">
        <f t="shared" si="28"/>
        <v>Daniel Gulady</v>
      </c>
      <c r="I151" s="14" t="str">
        <f t="shared" si="29"/>
        <v>Daniel Gulady</v>
      </c>
      <c r="J151" s="14"/>
      <c r="K151" s="14"/>
      <c r="L151" s="14"/>
      <c r="M151" s="14"/>
      <c r="N151" s="14"/>
    </row>
    <row r="152" spans="1:14" x14ac:dyDescent="0.3">
      <c r="A152">
        <v>6975772</v>
      </c>
      <c r="B152" t="s">
        <v>84</v>
      </c>
      <c r="C152" t="s">
        <v>85</v>
      </c>
      <c r="D152" s="14" t="str">
        <f t="shared" si="24"/>
        <v xml:space="preserve">unlimited learning  </v>
      </c>
      <c r="E152" s="14" t="str">
        <f t="shared" si="25"/>
        <v xml:space="preserve">Unlimited Learning  </v>
      </c>
      <c r="F152" s="14" t="str">
        <f t="shared" si="26"/>
        <v xml:space="preserve">UNLIMITED LEARNING  </v>
      </c>
      <c r="G152" s="14" t="str">
        <f t="shared" si="27"/>
        <v xml:space="preserve">unlimited learning  </v>
      </c>
      <c r="H152" s="14" t="str">
        <f t="shared" si="28"/>
        <v>Unlimited Learning</v>
      </c>
      <c r="I152" s="14" t="str">
        <f t="shared" si="29"/>
        <v>Unlimited Learning</v>
      </c>
      <c r="J152" s="14"/>
      <c r="K152" s="14"/>
      <c r="L152" s="14"/>
      <c r="M152" s="14"/>
      <c r="N152" s="14"/>
    </row>
    <row r="153" spans="1:14" x14ac:dyDescent="0.3">
      <c r="A153">
        <v>9053120</v>
      </c>
      <c r="B153" t="s">
        <v>60</v>
      </c>
      <c r="C153" t="s">
        <v>61</v>
      </c>
      <c r="D153" s="14" t="str">
        <f t="shared" si="24"/>
        <v xml:space="preserve">andrew lim  </v>
      </c>
      <c r="E153" s="14" t="str">
        <f t="shared" si="25"/>
        <v xml:space="preserve">Andrew Lim  </v>
      </c>
      <c r="F153" s="14" t="str">
        <f t="shared" si="26"/>
        <v xml:space="preserve">ANDREW LIM  </v>
      </c>
      <c r="G153" s="14" t="str">
        <f t="shared" si="27"/>
        <v xml:space="preserve">andrew lim  </v>
      </c>
      <c r="H153" s="14" t="str">
        <f t="shared" si="28"/>
        <v>Andrew Lim</v>
      </c>
      <c r="I153" s="14" t="str">
        <f t="shared" si="29"/>
        <v>Andrew Lim</v>
      </c>
      <c r="J153" s="14"/>
      <c r="K153" s="14"/>
      <c r="L153" s="14"/>
      <c r="M153" s="14"/>
      <c r="N153" s="14"/>
    </row>
    <row r="154" spans="1:14" x14ac:dyDescent="0.3">
      <c r="A154">
        <v>7582544</v>
      </c>
      <c r="B154" t="s">
        <v>54</v>
      </c>
      <c r="C154" t="s">
        <v>55</v>
      </c>
      <c r="D154" s="14" t="str">
        <f t="shared" si="24"/>
        <v xml:space="preserve">liz soomin  </v>
      </c>
      <c r="E154" s="14" t="str">
        <f t="shared" si="25"/>
        <v xml:space="preserve">Liz Soomin  </v>
      </c>
      <c r="F154" s="14" t="str">
        <f t="shared" si="26"/>
        <v xml:space="preserve">LIZ SOOMIN  </v>
      </c>
      <c r="G154" s="14" t="str">
        <f t="shared" si="27"/>
        <v xml:space="preserve">liz soomin  </v>
      </c>
      <c r="H154" s="14" t="str">
        <f t="shared" si="28"/>
        <v>Liz Soomin</v>
      </c>
      <c r="I154" s="14" t="str">
        <f t="shared" si="29"/>
        <v>Liz Soomin</v>
      </c>
      <c r="J154" s="14"/>
      <c r="K154" s="14"/>
      <c r="L154" s="14"/>
      <c r="M154" s="14"/>
      <c r="N154" s="14"/>
    </row>
    <row r="155" spans="1:14" x14ac:dyDescent="0.3">
      <c r="A155">
        <v>8682843</v>
      </c>
      <c r="B155" t="s">
        <v>52</v>
      </c>
      <c r="C155" t="s">
        <v>53</v>
      </c>
      <c r="D155" s="14" t="str">
        <f t="shared" si="24"/>
        <v xml:space="preserve">john silver  </v>
      </c>
      <c r="E155" s="14" t="str">
        <f t="shared" si="25"/>
        <v xml:space="preserve">John Silver  </v>
      </c>
      <c r="F155" s="14" t="str">
        <f t="shared" si="26"/>
        <v xml:space="preserve">JOHN SILVER  </v>
      </c>
      <c r="G155" s="14" t="str">
        <f t="shared" si="27"/>
        <v xml:space="preserve">john silver  </v>
      </c>
      <c r="H155" s="14" t="str">
        <f t="shared" si="28"/>
        <v>John Silver</v>
      </c>
      <c r="I155" s="14" t="str">
        <f t="shared" si="29"/>
        <v>John Silver</v>
      </c>
      <c r="J155" s="14"/>
      <c r="K155" s="14"/>
      <c r="L155" s="14"/>
      <c r="M155" s="14"/>
      <c r="N155" s="14"/>
    </row>
    <row r="156" spans="1:14" x14ac:dyDescent="0.3">
      <c r="A156">
        <v>5953827</v>
      </c>
      <c r="B156" t="s">
        <v>70</v>
      </c>
      <c r="C156" t="s">
        <v>71</v>
      </c>
      <c r="D156" s="14" t="str">
        <f t="shared" si="24"/>
        <v xml:space="preserve">james grau  </v>
      </c>
      <c r="E156" s="14" t="str">
        <f t="shared" si="25"/>
        <v xml:space="preserve">James Grau  </v>
      </c>
      <c r="F156" s="14" t="str">
        <f t="shared" si="26"/>
        <v xml:space="preserve">JAMES GRAU  </v>
      </c>
      <c r="G156" s="14" t="str">
        <f t="shared" si="27"/>
        <v xml:space="preserve">james grau  </v>
      </c>
      <c r="H156" s="14" t="str">
        <f t="shared" si="28"/>
        <v>James Grau</v>
      </c>
      <c r="I156" s="14" t="str">
        <f t="shared" si="29"/>
        <v>James Grau</v>
      </c>
      <c r="J156" s="14"/>
      <c r="K156" s="14"/>
      <c r="L156" s="14"/>
      <c r="M156" s="14"/>
      <c r="N156" s="14"/>
    </row>
    <row r="157" spans="1:14" x14ac:dyDescent="0.3">
      <c r="A157">
        <v>5766742</v>
      </c>
      <c r="B157" t="s">
        <v>64</v>
      </c>
      <c r="C157" t="s">
        <v>65</v>
      </c>
      <c r="D157" s="14" t="str">
        <f t="shared" si="24"/>
        <v xml:space="preserve">helen bison  </v>
      </c>
      <c r="E157" s="14" t="str">
        <f t="shared" si="25"/>
        <v xml:space="preserve">Helen Bison  </v>
      </c>
      <c r="F157" s="14" t="str">
        <f t="shared" si="26"/>
        <v xml:space="preserve">HELEN BISON  </v>
      </c>
      <c r="G157" s="14" t="str">
        <f t="shared" si="27"/>
        <v xml:space="preserve">helen bison  </v>
      </c>
      <c r="H157" s="14" t="str">
        <f t="shared" si="28"/>
        <v>Helen Bison</v>
      </c>
      <c r="I157" s="14" t="str">
        <f t="shared" si="29"/>
        <v>Helen Bison</v>
      </c>
      <c r="J157" s="14"/>
      <c r="K157" s="14"/>
      <c r="L157" s="14"/>
      <c r="M157" s="14"/>
      <c r="N157" s="14"/>
    </row>
    <row r="158" spans="1:14" x14ac:dyDescent="0.3">
      <c r="A158">
        <v>2145045</v>
      </c>
      <c r="B158" t="s">
        <v>82</v>
      </c>
      <c r="C158" t="s">
        <v>83</v>
      </c>
      <c r="D158" s="14" t="str">
        <f t="shared" si="24"/>
        <v xml:space="preserve">jenny furlong  </v>
      </c>
      <c r="E158" s="14" t="str">
        <f t="shared" si="25"/>
        <v xml:space="preserve">Jenny Furlong  </v>
      </c>
      <c r="F158" s="14" t="str">
        <f t="shared" si="26"/>
        <v xml:space="preserve">JENNY FURLONG  </v>
      </c>
      <c r="G158" s="14" t="str">
        <f t="shared" si="27"/>
        <v xml:space="preserve">jenny furlong  </v>
      </c>
      <c r="H158" s="14" t="str">
        <f t="shared" si="28"/>
        <v>Jenny Furlong</v>
      </c>
      <c r="I158" s="14" t="str">
        <f t="shared" si="29"/>
        <v>Jenny Furlong</v>
      </c>
      <c r="J158" s="14"/>
      <c r="K158" s="14"/>
      <c r="L158" s="14"/>
      <c r="M158" s="14"/>
      <c r="N158" s="14"/>
    </row>
    <row r="159" spans="1:14" x14ac:dyDescent="0.3">
      <c r="A159">
        <v>4641638</v>
      </c>
      <c r="B159" t="s">
        <v>60</v>
      </c>
      <c r="C159" t="s">
        <v>61</v>
      </c>
      <c r="D159" s="14" t="str">
        <f t="shared" si="24"/>
        <v xml:space="preserve">andrew lim  </v>
      </c>
      <c r="E159" s="14" t="str">
        <f t="shared" si="25"/>
        <v xml:space="preserve">Andrew Lim  </v>
      </c>
      <c r="F159" s="14" t="str">
        <f t="shared" si="26"/>
        <v xml:space="preserve">ANDREW LIM  </v>
      </c>
      <c r="G159" s="14" t="str">
        <f t="shared" si="27"/>
        <v xml:space="preserve">andrew lim  </v>
      </c>
      <c r="H159" s="14" t="str">
        <f t="shared" si="28"/>
        <v>Andrew Lim</v>
      </c>
      <c r="I159" s="14" t="str">
        <f t="shared" si="29"/>
        <v>Andrew Lim</v>
      </c>
      <c r="J159" s="14"/>
      <c r="K159" s="14"/>
      <c r="L159" s="14"/>
      <c r="M159" s="14"/>
      <c r="N159" s="14"/>
    </row>
    <row r="160" spans="1:14" x14ac:dyDescent="0.3">
      <c r="A160">
        <v>6569884</v>
      </c>
      <c r="B160" t="s">
        <v>64</v>
      </c>
      <c r="C160" t="s">
        <v>65</v>
      </c>
      <c r="D160" s="14" t="str">
        <f t="shared" si="24"/>
        <v xml:space="preserve">helen bison  </v>
      </c>
      <c r="E160" s="14" t="str">
        <f t="shared" si="25"/>
        <v xml:space="preserve">Helen Bison  </v>
      </c>
      <c r="F160" s="14" t="str">
        <f t="shared" si="26"/>
        <v xml:space="preserve">HELEN BISON  </v>
      </c>
      <c r="G160" s="14" t="str">
        <f t="shared" si="27"/>
        <v xml:space="preserve">helen bison  </v>
      </c>
      <c r="H160" s="14" t="str">
        <f t="shared" si="28"/>
        <v>Helen Bison</v>
      </c>
      <c r="I160" s="14" t="str">
        <f t="shared" si="29"/>
        <v>Helen Bison</v>
      </c>
      <c r="J160" s="14"/>
      <c r="K160" s="14"/>
      <c r="L160" s="14"/>
      <c r="M160" s="14"/>
      <c r="N160" s="1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819F-1EC0-4C67-B947-179181AC8851}">
  <dimension ref="A1:U128"/>
  <sheetViews>
    <sheetView zoomScaleNormal="100" workbookViewId="0">
      <selection activeCell="F3" sqref="F3"/>
    </sheetView>
  </sheetViews>
  <sheetFormatPr defaultRowHeight="14.4" x14ac:dyDescent="0.3"/>
  <cols>
    <col min="1" max="1" width="13.44140625" customWidth="1"/>
    <col min="2" max="2" width="13.109375" customWidth="1"/>
    <col min="3" max="21" width="15.6640625" customWidth="1"/>
  </cols>
  <sheetData>
    <row r="1" spans="1:9" ht="15.6" x14ac:dyDescent="0.3">
      <c r="A1" s="2" t="s">
        <v>144</v>
      </c>
    </row>
    <row r="2" spans="1:9" ht="15.6" x14ac:dyDescent="0.3">
      <c r="A2" s="2"/>
    </row>
    <row r="3" spans="1:9" x14ac:dyDescent="0.3">
      <c r="A3" s="1" t="s">
        <v>18</v>
      </c>
      <c r="B3" s="1" t="s">
        <v>145</v>
      </c>
      <c r="C3" s="1" t="s">
        <v>153</v>
      </c>
      <c r="D3" s="1" t="s">
        <v>154</v>
      </c>
      <c r="E3" s="1" t="s">
        <v>156</v>
      </c>
      <c r="F3" s="1"/>
      <c r="G3" s="1" t="s">
        <v>146</v>
      </c>
    </row>
    <row r="4" spans="1:9" x14ac:dyDescent="0.3">
      <c r="A4" s="9" t="s">
        <v>44</v>
      </c>
      <c r="B4" s="14">
        <f>INDEX($C$128:$U$128,MATCH($A4,$C$27:$U$27,0))</f>
        <v>23</v>
      </c>
      <c r="C4" s="14" t="str">
        <f>IF(B4&lt;=$H$4,"Average or below","Above average")</f>
        <v>Average or below</v>
      </c>
      <c r="D4" s="32">
        <f>IF(B4&lt;=$H$10,$G$10,IF(B4&lt;=$H$11,$G$11,IF(B4&lt;=$H$12,$G$12,$G$13)))</f>
        <v>1</v>
      </c>
      <c r="E4" s="34">
        <f>INDEX($I$10:$I$13,MATCH(D4,$G$10:$G$13,0))</f>
        <v>0</v>
      </c>
      <c r="F4" s="32"/>
      <c r="G4" t="s">
        <v>147</v>
      </c>
      <c r="H4" s="17">
        <f>AVERAGE(B4:B20)</f>
        <v>25.764705882352942</v>
      </c>
    </row>
    <row r="5" spans="1:9" x14ac:dyDescent="0.3">
      <c r="A5" s="9" t="s">
        <v>41</v>
      </c>
      <c r="B5" s="14">
        <f t="shared" ref="B5:B20" si="0">INDEX($C$128:$U$128,MATCH($A5,$C$27:$U$27,0))</f>
        <v>31</v>
      </c>
      <c r="C5" s="14" t="str">
        <f t="shared" ref="C5:C20" si="1">IF(B5&lt;=$H$4,"Average or below","Above average")</f>
        <v>Above average</v>
      </c>
      <c r="D5" s="32">
        <f t="shared" ref="D5:D20" si="2">IF(B5&lt;=$H$10,$G$10,IF(B5&lt;=$H$11,$G$11,IF(B5&lt;=$H$12,$G$12,$G$13)))</f>
        <v>4</v>
      </c>
      <c r="E5" s="34">
        <f t="shared" ref="E5:E20" si="3">INDEX($I$10:$I$13,MATCH(D5,$G$10:$G$13,0))</f>
        <v>0.15</v>
      </c>
      <c r="F5" s="32"/>
      <c r="G5" t="s">
        <v>148</v>
      </c>
      <c r="H5" s="17">
        <f>MEDIAN(B4:B20)</f>
        <v>25</v>
      </c>
    </row>
    <row r="6" spans="1:9" x14ac:dyDescent="0.3">
      <c r="A6" s="9" t="s">
        <v>43</v>
      </c>
      <c r="B6" s="14">
        <f t="shared" si="0"/>
        <v>25</v>
      </c>
      <c r="C6" s="14" t="str">
        <f t="shared" si="1"/>
        <v>Average or below</v>
      </c>
      <c r="D6" s="32">
        <f t="shared" si="2"/>
        <v>2</v>
      </c>
      <c r="E6" s="34">
        <f t="shared" si="3"/>
        <v>0.05</v>
      </c>
      <c r="F6" s="32"/>
      <c r="G6" t="s">
        <v>149</v>
      </c>
    </row>
    <row r="7" spans="1:9" x14ac:dyDescent="0.3">
      <c r="A7" s="9" t="s">
        <v>38</v>
      </c>
      <c r="B7" s="14">
        <f t="shared" si="0"/>
        <v>18</v>
      </c>
      <c r="C7" s="14" t="str">
        <f t="shared" si="1"/>
        <v>Average or below</v>
      </c>
      <c r="D7" s="32">
        <f t="shared" si="2"/>
        <v>1</v>
      </c>
      <c r="E7" s="34">
        <f t="shared" si="3"/>
        <v>0</v>
      </c>
      <c r="F7" s="32"/>
      <c r="G7" s="19" t="s">
        <v>150</v>
      </c>
      <c r="H7" s="31">
        <f>MIN(B4:B20)</f>
        <v>18</v>
      </c>
    </row>
    <row r="8" spans="1:9" x14ac:dyDescent="0.3">
      <c r="A8" s="9" t="s">
        <v>40</v>
      </c>
      <c r="B8" s="14">
        <f t="shared" si="0"/>
        <v>34</v>
      </c>
      <c r="C8" s="14" t="str">
        <f t="shared" si="1"/>
        <v>Above average</v>
      </c>
      <c r="D8" s="32">
        <f t="shared" si="2"/>
        <v>4</v>
      </c>
      <c r="E8" s="34">
        <f t="shared" si="3"/>
        <v>0.15</v>
      </c>
      <c r="F8" s="32"/>
      <c r="G8" s="19" t="s">
        <v>151</v>
      </c>
      <c r="H8" s="31">
        <f>MAX(B4:B20)</f>
        <v>34</v>
      </c>
    </row>
    <row r="9" spans="1:9" x14ac:dyDescent="0.3">
      <c r="A9" s="9" t="s">
        <v>36</v>
      </c>
      <c r="B9" s="14">
        <f t="shared" si="0"/>
        <v>25</v>
      </c>
      <c r="C9" s="14" t="str">
        <f t="shared" si="1"/>
        <v>Average or below</v>
      </c>
      <c r="D9" s="32">
        <f t="shared" si="2"/>
        <v>2</v>
      </c>
      <c r="E9" s="34">
        <f t="shared" si="3"/>
        <v>0.05</v>
      </c>
      <c r="F9" s="32"/>
      <c r="G9" t="s">
        <v>152</v>
      </c>
      <c r="I9" s="1" t="s">
        <v>155</v>
      </c>
    </row>
    <row r="10" spans="1:9" x14ac:dyDescent="0.3">
      <c r="A10" s="9" t="s">
        <v>35</v>
      </c>
      <c r="B10" s="14">
        <f t="shared" si="0"/>
        <v>21</v>
      </c>
      <c r="C10" s="14" t="str">
        <f t="shared" si="1"/>
        <v>Average or below</v>
      </c>
      <c r="D10" s="32">
        <f t="shared" si="2"/>
        <v>1</v>
      </c>
      <c r="E10" s="34">
        <f t="shared" si="3"/>
        <v>0</v>
      </c>
      <c r="F10" s="32"/>
      <c r="G10" s="16">
        <v>1</v>
      </c>
      <c r="H10" s="14">
        <f>QUARTILE($B$4:$B$20,G10)</f>
        <v>23</v>
      </c>
      <c r="I10" s="33">
        <v>0</v>
      </c>
    </row>
    <row r="11" spans="1:9" x14ac:dyDescent="0.3">
      <c r="A11" s="9" t="s">
        <v>39</v>
      </c>
      <c r="B11" s="14">
        <f t="shared" si="0"/>
        <v>24</v>
      </c>
      <c r="C11" s="14" t="str">
        <f t="shared" si="1"/>
        <v>Average or below</v>
      </c>
      <c r="D11" s="32">
        <f t="shared" si="2"/>
        <v>2</v>
      </c>
      <c r="E11" s="34">
        <f t="shared" si="3"/>
        <v>0.05</v>
      </c>
      <c r="F11" s="32"/>
      <c r="G11" s="16">
        <v>2</v>
      </c>
      <c r="H11" s="14">
        <f t="shared" ref="H11:H13" si="4">QUARTILE($B$4:$B$20,G11)</f>
        <v>25</v>
      </c>
      <c r="I11" s="33">
        <v>0.05</v>
      </c>
    </row>
    <row r="12" spans="1:9" x14ac:dyDescent="0.3">
      <c r="A12" s="9" t="s">
        <v>25</v>
      </c>
      <c r="B12" s="14">
        <f t="shared" si="0"/>
        <v>25</v>
      </c>
      <c r="C12" s="14" t="str">
        <f t="shared" si="1"/>
        <v>Average or below</v>
      </c>
      <c r="D12" s="32">
        <f t="shared" si="2"/>
        <v>2</v>
      </c>
      <c r="E12" s="34">
        <f t="shared" si="3"/>
        <v>0.05</v>
      </c>
      <c r="F12" s="32"/>
      <c r="G12" s="16">
        <v>3</v>
      </c>
      <c r="H12" s="14">
        <f t="shared" si="4"/>
        <v>27</v>
      </c>
      <c r="I12" s="33">
        <v>0.1</v>
      </c>
    </row>
    <row r="13" spans="1:9" x14ac:dyDescent="0.3">
      <c r="A13" s="9" t="s">
        <v>34</v>
      </c>
      <c r="B13" s="14">
        <f t="shared" si="0"/>
        <v>25</v>
      </c>
      <c r="C13" s="14" t="str">
        <f t="shared" si="1"/>
        <v>Average or below</v>
      </c>
      <c r="D13" s="32">
        <f t="shared" si="2"/>
        <v>2</v>
      </c>
      <c r="E13" s="34">
        <f t="shared" si="3"/>
        <v>0.05</v>
      </c>
      <c r="F13" s="32"/>
      <c r="G13" s="16">
        <v>4</v>
      </c>
      <c r="H13" s="14">
        <f t="shared" si="4"/>
        <v>34</v>
      </c>
      <c r="I13" s="33">
        <v>0.15</v>
      </c>
    </row>
    <row r="14" spans="1:9" x14ac:dyDescent="0.3">
      <c r="A14" s="9" t="s">
        <v>31</v>
      </c>
      <c r="B14" s="14">
        <f t="shared" si="0"/>
        <v>31</v>
      </c>
      <c r="C14" s="14" t="str">
        <f t="shared" si="1"/>
        <v>Above average</v>
      </c>
      <c r="D14" s="32">
        <f t="shared" si="2"/>
        <v>4</v>
      </c>
      <c r="E14" s="34">
        <f t="shared" si="3"/>
        <v>0.15</v>
      </c>
      <c r="F14" s="32"/>
    </row>
    <row r="15" spans="1:9" x14ac:dyDescent="0.3">
      <c r="A15" s="9" t="s">
        <v>37</v>
      </c>
      <c r="B15" s="14">
        <f t="shared" si="0"/>
        <v>21</v>
      </c>
      <c r="C15" s="14" t="str">
        <f t="shared" si="1"/>
        <v>Average or below</v>
      </c>
      <c r="D15" s="32">
        <f t="shared" si="2"/>
        <v>1</v>
      </c>
      <c r="E15" s="34">
        <f t="shared" si="3"/>
        <v>0</v>
      </c>
      <c r="F15" s="32"/>
    </row>
    <row r="16" spans="1:9" x14ac:dyDescent="0.3">
      <c r="A16" s="9" t="s">
        <v>33</v>
      </c>
      <c r="B16" s="14">
        <f t="shared" si="0"/>
        <v>27</v>
      </c>
      <c r="C16" s="14" t="str">
        <f t="shared" si="1"/>
        <v>Above average</v>
      </c>
      <c r="D16" s="32">
        <f t="shared" si="2"/>
        <v>3</v>
      </c>
      <c r="E16" s="34">
        <f t="shared" si="3"/>
        <v>0.1</v>
      </c>
      <c r="F16" s="32"/>
    </row>
    <row r="17" spans="1:21" x14ac:dyDescent="0.3">
      <c r="A17" s="9" t="s">
        <v>42</v>
      </c>
      <c r="B17" s="14">
        <f t="shared" si="0"/>
        <v>23</v>
      </c>
      <c r="C17" s="14" t="str">
        <f t="shared" si="1"/>
        <v>Average or below</v>
      </c>
      <c r="D17" s="32">
        <f t="shared" si="2"/>
        <v>1</v>
      </c>
      <c r="E17" s="34">
        <f t="shared" si="3"/>
        <v>0</v>
      </c>
      <c r="F17" s="32"/>
    </row>
    <row r="18" spans="1:21" x14ac:dyDescent="0.3">
      <c r="A18" s="9" t="s">
        <v>32</v>
      </c>
      <c r="B18" s="14">
        <f t="shared" si="0"/>
        <v>25</v>
      </c>
      <c r="C18" s="14" t="str">
        <f t="shared" si="1"/>
        <v>Average or below</v>
      </c>
      <c r="D18" s="32">
        <f t="shared" si="2"/>
        <v>2</v>
      </c>
      <c r="E18" s="34">
        <f t="shared" si="3"/>
        <v>0.05</v>
      </c>
      <c r="F18" s="32"/>
    </row>
    <row r="19" spans="1:21" x14ac:dyDescent="0.3">
      <c r="A19" s="9" t="s">
        <v>30</v>
      </c>
      <c r="B19" s="14">
        <f t="shared" si="0"/>
        <v>26</v>
      </c>
      <c r="C19" s="14" t="str">
        <f t="shared" si="1"/>
        <v>Above average</v>
      </c>
      <c r="D19" s="32">
        <f t="shared" si="2"/>
        <v>3</v>
      </c>
      <c r="E19" s="34">
        <f t="shared" si="3"/>
        <v>0.1</v>
      </c>
      <c r="F19" s="32"/>
    </row>
    <row r="20" spans="1:21" x14ac:dyDescent="0.3">
      <c r="A20" s="9" t="s">
        <v>28</v>
      </c>
      <c r="B20" s="14">
        <f t="shared" si="0"/>
        <v>34</v>
      </c>
      <c r="C20" s="14" t="str">
        <f t="shared" si="1"/>
        <v>Above average</v>
      </c>
      <c r="D20" s="32">
        <f t="shared" si="2"/>
        <v>4</v>
      </c>
      <c r="E20" s="34">
        <f t="shared" si="3"/>
        <v>0.15</v>
      </c>
      <c r="F20" s="32"/>
    </row>
    <row r="26" spans="1:21" x14ac:dyDescent="0.3">
      <c r="C26" t="s">
        <v>138</v>
      </c>
    </row>
    <row r="27" spans="1:21" ht="100.8" x14ac:dyDescent="0.3">
      <c r="A27" s="9" t="s">
        <v>139</v>
      </c>
      <c r="B27" s="29" t="s">
        <v>140</v>
      </c>
      <c r="C27" s="9" t="s">
        <v>44</v>
      </c>
      <c r="D27" s="9" t="s">
        <v>41</v>
      </c>
      <c r="E27" s="9"/>
      <c r="F27" s="9"/>
      <c r="G27" s="9" t="s">
        <v>43</v>
      </c>
      <c r="H27" s="9" t="s">
        <v>38</v>
      </c>
      <c r="I27" s="9" t="s">
        <v>40</v>
      </c>
      <c r="J27" s="9" t="s">
        <v>36</v>
      </c>
      <c r="K27" s="9" t="s">
        <v>35</v>
      </c>
      <c r="L27" s="9" t="s">
        <v>39</v>
      </c>
      <c r="M27" s="9" t="s">
        <v>25</v>
      </c>
      <c r="N27" s="9" t="s">
        <v>34</v>
      </c>
      <c r="O27" s="9" t="s">
        <v>31</v>
      </c>
      <c r="P27" s="9" t="s">
        <v>37</v>
      </c>
      <c r="Q27" s="9" t="s">
        <v>33</v>
      </c>
      <c r="R27" s="9" t="s">
        <v>42</v>
      </c>
      <c r="S27" s="9" t="s">
        <v>32</v>
      </c>
      <c r="T27" s="9" t="s">
        <v>30</v>
      </c>
      <c r="U27" s="9" t="s">
        <v>28</v>
      </c>
    </row>
    <row r="28" spans="1:21" x14ac:dyDescent="0.3">
      <c r="A28" s="23">
        <v>1</v>
      </c>
      <c r="B28" s="23">
        <v>0</v>
      </c>
      <c r="C28" s="9" t="s">
        <v>141</v>
      </c>
      <c r="D28" s="9" t="s">
        <v>141</v>
      </c>
      <c r="E28" s="9"/>
      <c r="F28" s="9"/>
      <c r="G28" s="9" t="s">
        <v>141</v>
      </c>
      <c r="H28" s="9" t="s">
        <v>141</v>
      </c>
      <c r="I28" s="9" t="s">
        <v>141</v>
      </c>
      <c r="J28" s="9" t="s">
        <v>141</v>
      </c>
      <c r="K28" s="9" t="s">
        <v>141</v>
      </c>
      <c r="L28" s="9" t="s">
        <v>141</v>
      </c>
      <c r="M28" s="9" t="s">
        <v>141</v>
      </c>
      <c r="N28" s="9" t="s">
        <v>141</v>
      </c>
      <c r="O28" s="9" t="s">
        <v>141</v>
      </c>
      <c r="P28" s="9" t="s">
        <v>141</v>
      </c>
      <c r="Q28" s="9" t="s">
        <v>141</v>
      </c>
      <c r="R28" s="9" t="s">
        <v>141</v>
      </c>
      <c r="S28" s="9" t="s">
        <v>141</v>
      </c>
      <c r="T28" s="9" t="s">
        <v>141</v>
      </c>
      <c r="U28" s="9" t="s">
        <v>141</v>
      </c>
    </row>
    <row r="29" spans="1:21" x14ac:dyDescent="0.3">
      <c r="A29" s="23">
        <v>2</v>
      </c>
      <c r="B29" s="23">
        <v>0</v>
      </c>
      <c r="C29" s="9" t="s">
        <v>141</v>
      </c>
      <c r="D29" s="9" t="s">
        <v>141</v>
      </c>
      <c r="E29" s="9"/>
      <c r="F29" s="9"/>
      <c r="G29" s="9" t="s">
        <v>141</v>
      </c>
      <c r="H29" s="9" t="s">
        <v>141</v>
      </c>
      <c r="I29" s="9" t="s">
        <v>141</v>
      </c>
      <c r="J29" s="9" t="s">
        <v>141</v>
      </c>
      <c r="K29" s="9" t="s">
        <v>141</v>
      </c>
      <c r="L29" s="9" t="s">
        <v>141</v>
      </c>
      <c r="M29" s="9" t="s">
        <v>141</v>
      </c>
      <c r="N29" s="9" t="s">
        <v>141</v>
      </c>
      <c r="O29" s="9" t="s">
        <v>141</v>
      </c>
      <c r="P29" s="9" t="s">
        <v>141</v>
      </c>
      <c r="Q29" s="9" t="s">
        <v>141</v>
      </c>
      <c r="R29" s="9" t="s">
        <v>141</v>
      </c>
      <c r="S29" s="9" t="s">
        <v>141</v>
      </c>
      <c r="T29" s="9" t="s">
        <v>141</v>
      </c>
      <c r="U29" s="9" t="s">
        <v>141</v>
      </c>
    </row>
    <row r="30" spans="1:21" x14ac:dyDescent="0.3">
      <c r="A30" s="23">
        <v>3</v>
      </c>
      <c r="B30" s="23">
        <v>1</v>
      </c>
      <c r="C30" s="9" t="s">
        <v>142</v>
      </c>
      <c r="D30" s="9" t="s">
        <v>142</v>
      </c>
      <c r="E30" s="9"/>
      <c r="F30" s="9"/>
      <c r="G30" s="9" t="s">
        <v>143</v>
      </c>
      <c r="H30" s="9" t="s">
        <v>143</v>
      </c>
      <c r="I30" s="9" t="s">
        <v>142</v>
      </c>
      <c r="J30" s="9" t="s">
        <v>142</v>
      </c>
      <c r="K30" s="9" t="s">
        <v>143</v>
      </c>
      <c r="L30" s="9" t="s">
        <v>143</v>
      </c>
      <c r="M30" s="9" t="s">
        <v>142</v>
      </c>
      <c r="N30" s="9" t="s">
        <v>142</v>
      </c>
      <c r="O30" s="9" t="s">
        <v>142</v>
      </c>
      <c r="P30" s="9" t="s">
        <v>142</v>
      </c>
      <c r="Q30" s="9" t="s">
        <v>143</v>
      </c>
      <c r="R30" s="9" t="s">
        <v>143</v>
      </c>
      <c r="S30" s="9" t="s">
        <v>142</v>
      </c>
      <c r="T30" s="9" t="s">
        <v>143</v>
      </c>
      <c r="U30" s="9" t="s">
        <v>142</v>
      </c>
    </row>
    <row r="31" spans="1:21" x14ac:dyDescent="0.3">
      <c r="A31" s="23">
        <v>4</v>
      </c>
      <c r="B31" s="23">
        <v>1</v>
      </c>
      <c r="C31" s="9" t="s">
        <v>143</v>
      </c>
      <c r="D31" s="9" t="s">
        <v>143</v>
      </c>
      <c r="E31" s="9"/>
      <c r="F31" s="9"/>
      <c r="G31" s="9" t="s">
        <v>142</v>
      </c>
      <c r="H31" s="9" t="s">
        <v>143</v>
      </c>
      <c r="I31" s="9" t="s">
        <v>142</v>
      </c>
      <c r="J31" s="9" t="s">
        <v>143</v>
      </c>
      <c r="K31" s="9" t="s">
        <v>142</v>
      </c>
      <c r="L31" s="9" t="s">
        <v>142</v>
      </c>
      <c r="M31" s="9" t="s">
        <v>142</v>
      </c>
      <c r="N31" s="9" t="s">
        <v>143</v>
      </c>
      <c r="O31" s="9" t="s">
        <v>142</v>
      </c>
      <c r="P31" s="9" t="s">
        <v>142</v>
      </c>
      <c r="Q31" s="9" t="s">
        <v>142</v>
      </c>
      <c r="R31" s="9" t="s">
        <v>142</v>
      </c>
      <c r="S31" s="9" t="s">
        <v>142</v>
      </c>
      <c r="T31" s="9" t="s">
        <v>142</v>
      </c>
      <c r="U31" s="9" t="s">
        <v>142</v>
      </c>
    </row>
    <row r="32" spans="1:21" x14ac:dyDescent="0.3">
      <c r="A32" s="23">
        <v>5</v>
      </c>
      <c r="B32" s="23">
        <v>0</v>
      </c>
      <c r="C32" s="9" t="s">
        <v>141</v>
      </c>
      <c r="D32" s="9" t="s">
        <v>141</v>
      </c>
      <c r="E32" s="9"/>
      <c r="F32" s="9"/>
      <c r="G32" s="9" t="s">
        <v>141</v>
      </c>
      <c r="H32" s="9" t="s">
        <v>141</v>
      </c>
      <c r="I32" s="9" t="s">
        <v>141</v>
      </c>
      <c r="J32" s="9" t="s">
        <v>141</v>
      </c>
      <c r="K32" s="9" t="s">
        <v>141</v>
      </c>
      <c r="L32" s="9" t="s">
        <v>141</v>
      </c>
      <c r="M32" s="9" t="s">
        <v>141</v>
      </c>
      <c r="N32" s="9" t="s">
        <v>141</v>
      </c>
      <c r="O32" s="9" t="s">
        <v>141</v>
      </c>
      <c r="P32" s="9" t="s">
        <v>141</v>
      </c>
      <c r="Q32" s="9" t="s">
        <v>141</v>
      </c>
      <c r="R32" s="9" t="s">
        <v>141</v>
      </c>
      <c r="S32" s="9" t="s">
        <v>141</v>
      </c>
      <c r="T32" s="9" t="s">
        <v>141</v>
      </c>
      <c r="U32" s="9" t="s">
        <v>141</v>
      </c>
    </row>
    <row r="33" spans="1:21" x14ac:dyDescent="0.3">
      <c r="A33" s="23">
        <v>6</v>
      </c>
      <c r="B33" s="23">
        <v>0</v>
      </c>
      <c r="C33" s="9" t="s">
        <v>141</v>
      </c>
      <c r="D33" s="9" t="s">
        <v>141</v>
      </c>
      <c r="E33" s="9"/>
      <c r="F33" s="9"/>
      <c r="G33" s="9" t="s">
        <v>141</v>
      </c>
      <c r="H33" s="9" t="s">
        <v>141</v>
      </c>
      <c r="I33" s="9" t="s">
        <v>141</v>
      </c>
      <c r="J33" s="9" t="s">
        <v>141</v>
      </c>
      <c r="K33" s="9" t="s">
        <v>141</v>
      </c>
      <c r="L33" s="9" t="s">
        <v>141</v>
      </c>
      <c r="M33" s="9" t="s">
        <v>141</v>
      </c>
      <c r="N33" s="9" t="s">
        <v>141</v>
      </c>
      <c r="O33" s="9" t="s">
        <v>141</v>
      </c>
      <c r="P33" s="9" t="s">
        <v>141</v>
      </c>
      <c r="Q33" s="9" t="s">
        <v>141</v>
      </c>
      <c r="R33" s="9" t="s">
        <v>141</v>
      </c>
      <c r="S33" s="9" t="s">
        <v>141</v>
      </c>
      <c r="T33" s="9" t="s">
        <v>141</v>
      </c>
      <c r="U33" s="9" t="s">
        <v>141</v>
      </c>
    </row>
    <row r="34" spans="1:21" x14ac:dyDescent="0.3">
      <c r="A34" s="23">
        <v>7</v>
      </c>
      <c r="B34" s="23">
        <v>1</v>
      </c>
      <c r="C34" s="9" t="s">
        <v>143</v>
      </c>
      <c r="D34" s="9" t="s">
        <v>142</v>
      </c>
      <c r="E34" s="9"/>
      <c r="F34" s="9"/>
      <c r="G34" s="9" t="s">
        <v>143</v>
      </c>
      <c r="H34" s="9" t="s">
        <v>142</v>
      </c>
      <c r="I34" s="9" t="s">
        <v>142</v>
      </c>
      <c r="J34" s="9" t="s">
        <v>142</v>
      </c>
      <c r="K34" s="9" t="s">
        <v>143</v>
      </c>
      <c r="L34" s="9" t="s">
        <v>142</v>
      </c>
      <c r="M34" s="9" t="s">
        <v>143</v>
      </c>
      <c r="N34" s="9" t="s">
        <v>143</v>
      </c>
      <c r="O34" s="9" t="s">
        <v>142</v>
      </c>
      <c r="P34" s="9" t="s">
        <v>143</v>
      </c>
      <c r="Q34" s="9" t="s">
        <v>142</v>
      </c>
      <c r="R34" s="9" t="s">
        <v>142</v>
      </c>
      <c r="S34" s="9" t="s">
        <v>142</v>
      </c>
      <c r="T34" s="9" t="s">
        <v>143</v>
      </c>
      <c r="U34" s="9" t="s">
        <v>142</v>
      </c>
    </row>
    <row r="35" spans="1:21" x14ac:dyDescent="0.3">
      <c r="A35" s="23">
        <v>8</v>
      </c>
      <c r="B35" s="23">
        <v>0</v>
      </c>
      <c r="C35" s="9" t="s">
        <v>141</v>
      </c>
      <c r="D35" s="9" t="s">
        <v>141</v>
      </c>
      <c r="E35" s="9"/>
      <c r="F35" s="9"/>
      <c r="G35" s="9" t="s">
        <v>141</v>
      </c>
      <c r="H35" s="9" t="s">
        <v>141</v>
      </c>
      <c r="I35" s="9" t="s">
        <v>141</v>
      </c>
      <c r="J35" s="9" t="s">
        <v>141</v>
      </c>
      <c r="K35" s="9" t="s">
        <v>141</v>
      </c>
      <c r="L35" s="9" t="s">
        <v>141</v>
      </c>
      <c r="M35" s="9" t="s">
        <v>141</v>
      </c>
      <c r="N35" s="9" t="s">
        <v>141</v>
      </c>
      <c r="O35" s="9" t="s">
        <v>141</v>
      </c>
      <c r="P35" s="9" t="s">
        <v>141</v>
      </c>
      <c r="Q35" s="9" t="s">
        <v>141</v>
      </c>
      <c r="R35" s="9" t="s">
        <v>141</v>
      </c>
      <c r="S35" s="9" t="s">
        <v>141</v>
      </c>
      <c r="T35" s="9" t="s">
        <v>141</v>
      </c>
      <c r="U35" s="9" t="s">
        <v>141</v>
      </c>
    </row>
    <row r="36" spans="1:21" x14ac:dyDescent="0.3">
      <c r="A36" s="23">
        <v>9</v>
      </c>
      <c r="B36" s="23">
        <v>0</v>
      </c>
      <c r="C36" s="9" t="s">
        <v>141</v>
      </c>
      <c r="D36" s="9" t="s">
        <v>141</v>
      </c>
      <c r="E36" s="9"/>
      <c r="F36" s="9"/>
      <c r="G36" s="9" t="s">
        <v>141</v>
      </c>
      <c r="H36" s="9" t="s">
        <v>141</v>
      </c>
      <c r="I36" s="9" t="s">
        <v>141</v>
      </c>
      <c r="J36" s="9" t="s">
        <v>141</v>
      </c>
      <c r="K36" s="9" t="s">
        <v>141</v>
      </c>
      <c r="L36" s="9" t="s">
        <v>141</v>
      </c>
      <c r="M36" s="9" t="s">
        <v>141</v>
      </c>
      <c r="N36" s="9" t="s">
        <v>141</v>
      </c>
      <c r="O36" s="9" t="s">
        <v>141</v>
      </c>
      <c r="P36" s="9" t="s">
        <v>141</v>
      </c>
      <c r="Q36" s="9" t="s">
        <v>141</v>
      </c>
      <c r="R36" s="9" t="s">
        <v>141</v>
      </c>
      <c r="S36" s="9" t="s">
        <v>141</v>
      </c>
      <c r="T36" s="9" t="s">
        <v>141</v>
      </c>
      <c r="U36" s="9" t="s">
        <v>141</v>
      </c>
    </row>
    <row r="37" spans="1:21" x14ac:dyDescent="0.3">
      <c r="A37" s="23">
        <v>10</v>
      </c>
      <c r="B37" s="23">
        <v>0</v>
      </c>
      <c r="C37" s="9" t="s">
        <v>141</v>
      </c>
      <c r="D37" s="9" t="s">
        <v>141</v>
      </c>
      <c r="E37" s="9"/>
      <c r="F37" s="9"/>
      <c r="G37" s="9" t="s">
        <v>141</v>
      </c>
      <c r="H37" s="9" t="s">
        <v>141</v>
      </c>
      <c r="I37" s="9" t="s">
        <v>141</v>
      </c>
      <c r="J37" s="9" t="s">
        <v>141</v>
      </c>
      <c r="K37" s="9" t="s">
        <v>141</v>
      </c>
      <c r="L37" s="9" t="s">
        <v>141</v>
      </c>
      <c r="M37" s="9" t="s">
        <v>141</v>
      </c>
      <c r="N37" s="9" t="s">
        <v>141</v>
      </c>
      <c r="O37" s="9" t="s">
        <v>141</v>
      </c>
      <c r="P37" s="9" t="s">
        <v>141</v>
      </c>
      <c r="Q37" s="9" t="s">
        <v>141</v>
      </c>
      <c r="R37" s="9" t="s">
        <v>141</v>
      </c>
      <c r="S37" s="9" t="s">
        <v>141</v>
      </c>
      <c r="T37" s="9" t="s">
        <v>141</v>
      </c>
      <c r="U37" s="9" t="s">
        <v>141</v>
      </c>
    </row>
    <row r="38" spans="1:21" x14ac:dyDescent="0.3">
      <c r="A38" s="23">
        <v>11</v>
      </c>
      <c r="B38" s="23">
        <v>1</v>
      </c>
      <c r="C38" s="9" t="s">
        <v>143</v>
      </c>
      <c r="D38" s="9" t="s">
        <v>143</v>
      </c>
      <c r="E38" s="9"/>
      <c r="F38" s="9"/>
      <c r="G38" s="9" t="s">
        <v>142</v>
      </c>
      <c r="H38" s="9" t="s">
        <v>142</v>
      </c>
      <c r="I38" s="9" t="s">
        <v>142</v>
      </c>
      <c r="J38" s="9" t="s">
        <v>143</v>
      </c>
      <c r="K38" s="9" t="s">
        <v>142</v>
      </c>
      <c r="L38" s="9" t="s">
        <v>143</v>
      </c>
      <c r="M38" s="9" t="s">
        <v>143</v>
      </c>
      <c r="N38" s="9" t="s">
        <v>143</v>
      </c>
      <c r="O38" s="9" t="s">
        <v>143</v>
      </c>
      <c r="P38" s="9" t="s">
        <v>143</v>
      </c>
      <c r="Q38" s="9" t="s">
        <v>142</v>
      </c>
      <c r="R38" s="9" t="s">
        <v>142</v>
      </c>
      <c r="S38" s="9" t="s">
        <v>143</v>
      </c>
      <c r="T38" s="9" t="s">
        <v>143</v>
      </c>
      <c r="U38" s="9" t="s">
        <v>143</v>
      </c>
    </row>
    <row r="39" spans="1:21" x14ac:dyDescent="0.3">
      <c r="A39" s="23">
        <v>12</v>
      </c>
      <c r="B39" s="23">
        <v>1</v>
      </c>
      <c r="C39" s="9" t="s">
        <v>143</v>
      </c>
      <c r="D39" s="9" t="s">
        <v>142</v>
      </c>
      <c r="E39" s="9"/>
      <c r="F39" s="9"/>
      <c r="G39" s="9" t="s">
        <v>143</v>
      </c>
      <c r="H39" s="9" t="s">
        <v>143</v>
      </c>
      <c r="I39" s="9" t="s">
        <v>143</v>
      </c>
      <c r="J39" s="9" t="s">
        <v>143</v>
      </c>
      <c r="K39" s="9" t="s">
        <v>143</v>
      </c>
      <c r="L39" s="9" t="s">
        <v>143</v>
      </c>
      <c r="M39" s="9" t="s">
        <v>143</v>
      </c>
      <c r="N39" s="9" t="s">
        <v>142</v>
      </c>
      <c r="O39" s="9" t="s">
        <v>143</v>
      </c>
      <c r="P39" s="9" t="s">
        <v>143</v>
      </c>
      <c r="Q39" s="9" t="s">
        <v>142</v>
      </c>
      <c r="R39" s="9" t="s">
        <v>143</v>
      </c>
      <c r="S39" s="9" t="s">
        <v>143</v>
      </c>
      <c r="T39" s="9" t="s">
        <v>142</v>
      </c>
      <c r="U39" s="9" t="s">
        <v>143</v>
      </c>
    </row>
    <row r="40" spans="1:21" x14ac:dyDescent="0.3">
      <c r="A40" s="23">
        <v>13</v>
      </c>
      <c r="B40" s="23">
        <v>0</v>
      </c>
      <c r="C40" s="9" t="s">
        <v>141</v>
      </c>
      <c r="D40" s="9" t="s">
        <v>141</v>
      </c>
      <c r="E40" s="9"/>
      <c r="F40" s="9"/>
      <c r="G40" s="9" t="s">
        <v>141</v>
      </c>
      <c r="H40" s="9" t="s">
        <v>141</v>
      </c>
      <c r="I40" s="9" t="s">
        <v>141</v>
      </c>
      <c r="J40" s="9" t="s">
        <v>141</v>
      </c>
      <c r="K40" s="9" t="s">
        <v>141</v>
      </c>
      <c r="L40" s="9" t="s">
        <v>141</v>
      </c>
      <c r="M40" s="9" t="s">
        <v>141</v>
      </c>
      <c r="N40" s="9" t="s">
        <v>141</v>
      </c>
      <c r="O40" s="9" t="s">
        <v>141</v>
      </c>
      <c r="P40" s="9" t="s">
        <v>141</v>
      </c>
      <c r="Q40" s="9" t="s">
        <v>141</v>
      </c>
      <c r="R40" s="9" t="s">
        <v>141</v>
      </c>
      <c r="S40" s="9" t="s">
        <v>141</v>
      </c>
      <c r="T40" s="9" t="s">
        <v>141</v>
      </c>
      <c r="U40" s="9" t="s">
        <v>141</v>
      </c>
    </row>
    <row r="41" spans="1:21" x14ac:dyDescent="0.3">
      <c r="A41" s="23">
        <v>14</v>
      </c>
      <c r="B41" s="23">
        <v>1</v>
      </c>
      <c r="C41" s="9" t="s">
        <v>142</v>
      </c>
      <c r="D41" s="9" t="s">
        <v>143</v>
      </c>
      <c r="E41" s="9"/>
      <c r="F41" s="9"/>
      <c r="G41" s="9" t="s">
        <v>142</v>
      </c>
      <c r="H41" s="9" t="s">
        <v>143</v>
      </c>
      <c r="I41" s="9" t="s">
        <v>142</v>
      </c>
      <c r="J41" s="9" t="s">
        <v>143</v>
      </c>
      <c r="K41" s="9" t="s">
        <v>143</v>
      </c>
      <c r="L41" s="9" t="s">
        <v>142</v>
      </c>
      <c r="M41" s="9" t="s">
        <v>143</v>
      </c>
      <c r="N41" s="9" t="s">
        <v>142</v>
      </c>
      <c r="O41" s="9" t="s">
        <v>142</v>
      </c>
      <c r="P41" s="9" t="s">
        <v>142</v>
      </c>
      <c r="Q41" s="9" t="s">
        <v>143</v>
      </c>
      <c r="R41" s="9" t="s">
        <v>143</v>
      </c>
      <c r="S41" s="9" t="s">
        <v>143</v>
      </c>
      <c r="T41" s="9" t="s">
        <v>143</v>
      </c>
      <c r="U41" s="9" t="s">
        <v>142</v>
      </c>
    </row>
    <row r="42" spans="1:21" x14ac:dyDescent="0.3">
      <c r="A42" s="23">
        <v>15</v>
      </c>
      <c r="B42" s="23">
        <v>0</v>
      </c>
      <c r="C42" s="9" t="s">
        <v>141</v>
      </c>
      <c r="D42" s="9" t="s">
        <v>141</v>
      </c>
      <c r="E42" s="9"/>
      <c r="F42" s="9"/>
      <c r="G42" s="9" t="s">
        <v>141</v>
      </c>
      <c r="H42" s="9" t="s">
        <v>141</v>
      </c>
      <c r="I42" s="9" t="s">
        <v>141</v>
      </c>
      <c r="J42" s="9" t="s">
        <v>141</v>
      </c>
      <c r="K42" s="9" t="s">
        <v>141</v>
      </c>
      <c r="L42" s="9" t="s">
        <v>141</v>
      </c>
      <c r="M42" s="9" t="s">
        <v>141</v>
      </c>
      <c r="N42" s="9" t="s">
        <v>141</v>
      </c>
      <c r="O42" s="9" t="s">
        <v>141</v>
      </c>
      <c r="P42" s="9" t="s">
        <v>141</v>
      </c>
      <c r="Q42" s="9" t="s">
        <v>141</v>
      </c>
      <c r="R42" s="9" t="s">
        <v>141</v>
      </c>
      <c r="S42" s="9" t="s">
        <v>141</v>
      </c>
      <c r="T42" s="9" t="s">
        <v>141</v>
      </c>
      <c r="U42" s="9" t="s">
        <v>141</v>
      </c>
    </row>
    <row r="43" spans="1:21" x14ac:dyDescent="0.3">
      <c r="A43" s="23">
        <v>16</v>
      </c>
      <c r="B43" s="23">
        <v>1</v>
      </c>
      <c r="C43" s="9" t="s">
        <v>143</v>
      </c>
      <c r="D43" s="9" t="s">
        <v>143</v>
      </c>
      <c r="E43" s="9"/>
      <c r="F43" s="9"/>
      <c r="G43" s="9" t="s">
        <v>143</v>
      </c>
      <c r="H43" s="9" t="s">
        <v>143</v>
      </c>
      <c r="I43" s="9" t="s">
        <v>142</v>
      </c>
      <c r="J43" s="9" t="s">
        <v>143</v>
      </c>
      <c r="K43" s="9" t="s">
        <v>142</v>
      </c>
      <c r="L43" s="9" t="s">
        <v>142</v>
      </c>
      <c r="M43" s="9" t="s">
        <v>143</v>
      </c>
      <c r="N43" s="9" t="s">
        <v>142</v>
      </c>
      <c r="O43" s="9" t="s">
        <v>142</v>
      </c>
      <c r="P43" s="9" t="s">
        <v>143</v>
      </c>
      <c r="Q43" s="9" t="s">
        <v>143</v>
      </c>
      <c r="R43" s="9" t="s">
        <v>143</v>
      </c>
      <c r="S43" s="9" t="s">
        <v>143</v>
      </c>
      <c r="T43" s="9" t="s">
        <v>143</v>
      </c>
      <c r="U43" s="9" t="s">
        <v>142</v>
      </c>
    </row>
    <row r="44" spans="1:21" x14ac:dyDescent="0.3">
      <c r="A44" s="23">
        <v>17</v>
      </c>
      <c r="B44" s="23">
        <v>1</v>
      </c>
      <c r="C44" s="9" t="s">
        <v>142</v>
      </c>
      <c r="D44" s="9" t="s">
        <v>142</v>
      </c>
      <c r="E44" s="9"/>
      <c r="F44" s="9"/>
      <c r="G44" s="9" t="s">
        <v>142</v>
      </c>
      <c r="H44" s="9" t="s">
        <v>143</v>
      </c>
      <c r="I44" s="9" t="s">
        <v>143</v>
      </c>
      <c r="J44" s="9" t="s">
        <v>142</v>
      </c>
      <c r="K44" s="9" t="s">
        <v>142</v>
      </c>
      <c r="L44" s="9" t="s">
        <v>142</v>
      </c>
      <c r="M44" s="9" t="s">
        <v>143</v>
      </c>
      <c r="N44" s="9" t="s">
        <v>143</v>
      </c>
      <c r="O44" s="9" t="s">
        <v>142</v>
      </c>
      <c r="P44" s="9" t="s">
        <v>143</v>
      </c>
      <c r="Q44" s="9" t="s">
        <v>142</v>
      </c>
      <c r="R44" s="9" t="s">
        <v>143</v>
      </c>
      <c r="S44" s="9" t="s">
        <v>142</v>
      </c>
      <c r="T44" s="9" t="s">
        <v>143</v>
      </c>
      <c r="U44" s="9" t="s">
        <v>142</v>
      </c>
    </row>
    <row r="45" spans="1:21" x14ac:dyDescent="0.3">
      <c r="A45" s="23">
        <v>18</v>
      </c>
      <c r="B45" s="23">
        <v>1</v>
      </c>
      <c r="C45" s="9" t="s">
        <v>143</v>
      </c>
      <c r="D45" s="9" t="s">
        <v>142</v>
      </c>
      <c r="E45" s="9"/>
      <c r="F45" s="9"/>
      <c r="G45" s="9" t="s">
        <v>143</v>
      </c>
      <c r="H45" s="9" t="s">
        <v>142</v>
      </c>
      <c r="I45" s="9" t="s">
        <v>143</v>
      </c>
      <c r="J45" s="9" t="s">
        <v>143</v>
      </c>
      <c r="K45" s="9" t="s">
        <v>142</v>
      </c>
      <c r="L45" s="9" t="s">
        <v>143</v>
      </c>
      <c r="M45" s="9" t="s">
        <v>142</v>
      </c>
      <c r="N45" s="9" t="s">
        <v>142</v>
      </c>
      <c r="O45" s="9" t="s">
        <v>142</v>
      </c>
      <c r="P45" s="9" t="s">
        <v>143</v>
      </c>
      <c r="Q45" s="9" t="s">
        <v>143</v>
      </c>
      <c r="R45" s="9" t="s">
        <v>143</v>
      </c>
      <c r="S45" s="9" t="s">
        <v>143</v>
      </c>
      <c r="T45" s="9" t="s">
        <v>143</v>
      </c>
      <c r="U45" s="9" t="s">
        <v>142</v>
      </c>
    </row>
    <row r="46" spans="1:21" x14ac:dyDescent="0.3">
      <c r="A46" s="23">
        <v>19</v>
      </c>
      <c r="B46" s="23">
        <v>1</v>
      </c>
      <c r="C46" s="9" t="s">
        <v>143</v>
      </c>
      <c r="D46" s="9" t="s">
        <v>142</v>
      </c>
      <c r="E46" s="9"/>
      <c r="F46" s="9"/>
      <c r="G46" s="9" t="s">
        <v>142</v>
      </c>
      <c r="H46" s="9" t="s">
        <v>143</v>
      </c>
      <c r="I46" s="9" t="s">
        <v>143</v>
      </c>
      <c r="J46" s="9" t="s">
        <v>143</v>
      </c>
      <c r="K46" s="9" t="s">
        <v>142</v>
      </c>
      <c r="L46" s="9" t="s">
        <v>143</v>
      </c>
      <c r="M46" s="9" t="s">
        <v>143</v>
      </c>
      <c r="N46" s="9" t="s">
        <v>142</v>
      </c>
      <c r="O46" s="9" t="s">
        <v>142</v>
      </c>
      <c r="P46" s="9" t="s">
        <v>142</v>
      </c>
      <c r="Q46" s="9" t="s">
        <v>142</v>
      </c>
      <c r="R46" s="9" t="s">
        <v>143</v>
      </c>
      <c r="S46" s="9" t="s">
        <v>143</v>
      </c>
      <c r="T46" s="9" t="s">
        <v>143</v>
      </c>
      <c r="U46" s="9" t="s">
        <v>142</v>
      </c>
    </row>
    <row r="47" spans="1:21" x14ac:dyDescent="0.3">
      <c r="A47" s="23">
        <v>20</v>
      </c>
      <c r="B47" s="23">
        <v>0</v>
      </c>
      <c r="C47" s="9" t="s">
        <v>141</v>
      </c>
      <c r="D47" s="9" t="s">
        <v>141</v>
      </c>
      <c r="E47" s="9"/>
      <c r="F47" s="9"/>
      <c r="G47" s="9" t="s">
        <v>141</v>
      </c>
      <c r="H47" s="9" t="s">
        <v>141</v>
      </c>
      <c r="I47" s="9" t="s">
        <v>141</v>
      </c>
      <c r="J47" s="9" t="s">
        <v>141</v>
      </c>
      <c r="K47" s="9" t="s">
        <v>141</v>
      </c>
      <c r="L47" s="9" t="s">
        <v>141</v>
      </c>
      <c r="M47" s="9" t="s">
        <v>141</v>
      </c>
      <c r="N47" s="9" t="s">
        <v>141</v>
      </c>
      <c r="O47" s="9" t="s">
        <v>141</v>
      </c>
      <c r="P47" s="9" t="s">
        <v>141</v>
      </c>
      <c r="Q47" s="9" t="s">
        <v>141</v>
      </c>
      <c r="R47" s="9" t="s">
        <v>141</v>
      </c>
      <c r="S47" s="9" t="s">
        <v>141</v>
      </c>
      <c r="T47" s="9" t="s">
        <v>141</v>
      </c>
      <c r="U47" s="9" t="s">
        <v>141</v>
      </c>
    </row>
    <row r="48" spans="1:21" x14ac:dyDescent="0.3">
      <c r="A48" s="23">
        <v>21</v>
      </c>
      <c r="B48" s="23">
        <v>0</v>
      </c>
      <c r="C48" s="9" t="s">
        <v>141</v>
      </c>
      <c r="D48" s="9" t="s">
        <v>141</v>
      </c>
      <c r="E48" s="9"/>
      <c r="F48" s="9"/>
      <c r="G48" s="9" t="s">
        <v>141</v>
      </c>
      <c r="H48" s="9" t="s">
        <v>141</v>
      </c>
      <c r="I48" s="9" t="s">
        <v>141</v>
      </c>
      <c r="J48" s="9" t="s">
        <v>141</v>
      </c>
      <c r="K48" s="9" t="s">
        <v>141</v>
      </c>
      <c r="L48" s="9" t="s">
        <v>141</v>
      </c>
      <c r="M48" s="9" t="s">
        <v>141</v>
      </c>
      <c r="N48" s="9" t="s">
        <v>141</v>
      </c>
      <c r="O48" s="9" t="s">
        <v>141</v>
      </c>
      <c r="P48" s="9" t="s">
        <v>141</v>
      </c>
      <c r="Q48" s="9" t="s">
        <v>141</v>
      </c>
      <c r="R48" s="9" t="s">
        <v>141</v>
      </c>
      <c r="S48" s="9" t="s">
        <v>141</v>
      </c>
      <c r="T48" s="9" t="s">
        <v>141</v>
      </c>
      <c r="U48" s="9" t="s">
        <v>141</v>
      </c>
    </row>
    <row r="49" spans="1:21" x14ac:dyDescent="0.3">
      <c r="A49" s="23">
        <v>22</v>
      </c>
      <c r="B49" s="23">
        <v>1</v>
      </c>
      <c r="C49" s="9" t="s">
        <v>143</v>
      </c>
      <c r="D49" s="9" t="s">
        <v>143</v>
      </c>
      <c r="E49" s="9"/>
      <c r="F49" s="9"/>
      <c r="G49" s="9" t="s">
        <v>143</v>
      </c>
      <c r="H49" s="9" t="s">
        <v>142</v>
      </c>
      <c r="I49" s="9" t="s">
        <v>143</v>
      </c>
      <c r="J49" s="9" t="s">
        <v>142</v>
      </c>
      <c r="K49" s="9" t="s">
        <v>142</v>
      </c>
      <c r="L49" s="9" t="s">
        <v>143</v>
      </c>
      <c r="M49" s="9" t="s">
        <v>143</v>
      </c>
      <c r="N49" s="9" t="s">
        <v>142</v>
      </c>
      <c r="O49" s="9" t="s">
        <v>143</v>
      </c>
      <c r="P49" s="9" t="s">
        <v>142</v>
      </c>
      <c r="Q49" s="9" t="s">
        <v>143</v>
      </c>
      <c r="R49" s="9" t="s">
        <v>142</v>
      </c>
      <c r="S49" s="9" t="s">
        <v>143</v>
      </c>
      <c r="T49" s="9" t="s">
        <v>143</v>
      </c>
      <c r="U49" s="9" t="s">
        <v>142</v>
      </c>
    </row>
    <row r="50" spans="1:21" x14ac:dyDescent="0.3">
      <c r="A50" s="23">
        <v>23</v>
      </c>
      <c r="B50" s="23">
        <v>1</v>
      </c>
      <c r="C50" s="9" t="s">
        <v>143</v>
      </c>
      <c r="D50" s="9" t="s">
        <v>143</v>
      </c>
      <c r="E50" s="9"/>
      <c r="F50" s="9"/>
      <c r="G50" s="9" t="s">
        <v>143</v>
      </c>
      <c r="H50" s="9" t="s">
        <v>143</v>
      </c>
      <c r="I50" s="9" t="s">
        <v>142</v>
      </c>
      <c r="J50" s="9" t="s">
        <v>142</v>
      </c>
      <c r="K50" s="9" t="s">
        <v>143</v>
      </c>
      <c r="L50" s="9" t="s">
        <v>142</v>
      </c>
      <c r="M50" s="9" t="s">
        <v>142</v>
      </c>
      <c r="N50" s="9" t="s">
        <v>142</v>
      </c>
      <c r="O50" s="9" t="s">
        <v>142</v>
      </c>
      <c r="P50" s="9" t="s">
        <v>143</v>
      </c>
      <c r="Q50" s="9" t="s">
        <v>142</v>
      </c>
      <c r="R50" s="9" t="s">
        <v>142</v>
      </c>
      <c r="S50" s="9" t="s">
        <v>143</v>
      </c>
      <c r="T50" s="9" t="s">
        <v>143</v>
      </c>
      <c r="U50" s="9" t="s">
        <v>142</v>
      </c>
    </row>
    <row r="51" spans="1:21" x14ac:dyDescent="0.3">
      <c r="A51" s="23">
        <v>24</v>
      </c>
      <c r="B51" s="23">
        <v>1</v>
      </c>
      <c r="C51" s="9" t="s">
        <v>143</v>
      </c>
      <c r="D51" s="9" t="s">
        <v>143</v>
      </c>
      <c r="E51" s="9"/>
      <c r="F51" s="9"/>
      <c r="G51" s="9" t="s">
        <v>142</v>
      </c>
      <c r="H51" s="9" t="s">
        <v>143</v>
      </c>
      <c r="I51" s="9" t="s">
        <v>143</v>
      </c>
      <c r="J51" s="9" t="s">
        <v>142</v>
      </c>
      <c r="K51" s="9" t="s">
        <v>143</v>
      </c>
      <c r="L51" s="9" t="s">
        <v>143</v>
      </c>
      <c r="M51" s="9" t="s">
        <v>142</v>
      </c>
      <c r="N51" s="9" t="s">
        <v>143</v>
      </c>
      <c r="O51" s="9" t="s">
        <v>142</v>
      </c>
      <c r="P51" s="9" t="s">
        <v>143</v>
      </c>
      <c r="Q51" s="9" t="s">
        <v>142</v>
      </c>
      <c r="R51" s="9" t="s">
        <v>143</v>
      </c>
      <c r="S51" s="9" t="s">
        <v>142</v>
      </c>
      <c r="T51" s="9" t="s">
        <v>142</v>
      </c>
      <c r="U51" s="9" t="s">
        <v>142</v>
      </c>
    </row>
    <row r="52" spans="1:21" x14ac:dyDescent="0.3">
      <c r="A52" s="23">
        <v>25</v>
      </c>
      <c r="B52" s="23">
        <v>1</v>
      </c>
      <c r="C52" s="9" t="s">
        <v>142</v>
      </c>
      <c r="D52" s="9" t="s">
        <v>142</v>
      </c>
      <c r="E52" s="9"/>
      <c r="F52" s="9"/>
      <c r="G52" s="9" t="s">
        <v>143</v>
      </c>
      <c r="H52" s="9" t="s">
        <v>143</v>
      </c>
      <c r="I52" s="9" t="s">
        <v>142</v>
      </c>
      <c r="J52" s="9" t="s">
        <v>142</v>
      </c>
      <c r="K52" s="9" t="s">
        <v>142</v>
      </c>
      <c r="L52" s="9" t="s">
        <v>143</v>
      </c>
      <c r="M52" s="9" t="s">
        <v>143</v>
      </c>
      <c r="N52" s="9" t="s">
        <v>142</v>
      </c>
      <c r="O52" s="9" t="s">
        <v>142</v>
      </c>
      <c r="P52" s="9" t="s">
        <v>143</v>
      </c>
      <c r="Q52" s="9" t="s">
        <v>143</v>
      </c>
      <c r="R52" s="9" t="s">
        <v>143</v>
      </c>
      <c r="S52" s="9" t="s">
        <v>143</v>
      </c>
      <c r="T52" s="9" t="s">
        <v>143</v>
      </c>
      <c r="U52" s="9" t="s">
        <v>143</v>
      </c>
    </row>
    <row r="53" spans="1:21" x14ac:dyDescent="0.3">
      <c r="A53" s="23">
        <v>26</v>
      </c>
      <c r="B53" s="23">
        <v>0</v>
      </c>
      <c r="C53" s="9" t="s">
        <v>141</v>
      </c>
      <c r="D53" s="9" t="s">
        <v>141</v>
      </c>
      <c r="E53" s="9"/>
      <c r="F53" s="9"/>
      <c r="G53" s="9" t="s">
        <v>141</v>
      </c>
      <c r="H53" s="9" t="s">
        <v>141</v>
      </c>
      <c r="I53" s="9" t="s">
        <v>141</v>
      </c>
      <c r="J53" s="9" t="s">
        <v>141</v>
      </c>
      <c r="K53" s="9" t="s">
        <v>141</v>
      </c>
      <c r="L53" s="9" t="s">
        <v>141</v>
      </c>
      <c r="M53" s="9" t="s">
        <v>141</v>
      </c>
      <c r="N53" s="9" t="s">
        <v>141</v>
      </c>
      <c r="O53" s="9" t="s">
        <v>141</v>
      </c>
      <c r="P53" s="9" t="s">
        <v>141</v>
      </c>
      <c r="Q53" s="9" t="s">
        <v>141</v>
      </c>
      <c r="R53" s="9" t="s">
        <v>141</v>
      </c>
      <c r="S53" s="9" t="s">
        <v>141</v>
      </c>
      <c r="T53" s="9" t="s">
        <v>141</v>
      </c>
      <c r="U53" s="9" t="s">
        <v>141</v>
      </c>
    </row>
    <row r="54" spans="1:21" x14ac:dyDescent="0.3">
      <c r="A54" s="23">
        <v>27</v>
      </c>
      <c r="B54" s="23">
        <v>1</v>
      </c>
      <c r="C54" s="9" t="s">
        <v>143</v>
      </c>
      <c r="D54" s="9" t="s">
        <v>143</v>
      </c>
      <c r="E54" s="9"/>
      <c r="F54" s="9"/>
      <c r="G54" s="9" t="s">
        <v>142</v>
      </c>
      <c r="H54" s="9" t="s">
        <v>143</v>
      </c>
      <c r="I54" s="9" t="s">
        <v>143</v>
      </c>
      <c r="J54" s="9" t="s">
        <v>143</v>
      </c>
      <c r="K54" s="9" t="s">
        <v>143</v>
      </c>
      <c r="L54" s="9" t="s">
        <v>142</v>
      </c>
      <c r="M54" s="9" t="s">
        <v>142</v>
      </c>
      <c r="N54" s="9" t="s">
        <v>143</v>
      </c>
      <c r="O54" s="9" t="s">
        <v>142</v>
      </c>
      <c r="P54" s="9" t="s">
        <v>143</v>
      </c>
      <c r="Q54" s="9" t="s">
        <v>142</v>
      </c>
      <c r="R54" s="9" t="s">
        <v>142</v>
      </c>
      <c r="S54" s="9" t="s">
        <v>143</v>
      </c>
      <c r="T54" s="9" t="s">
        <v>143</v>
      </c>
      <c r="U54" s="9" t="s">
        <v>142</v>
      </c>
    </row>
    <row r="55" spans="1:21" x14ac:dyDescent="0.3">
      <c r="A55" s="23">
        <v>28</v>
      </c>
      <c r="B55" s="23">
        <v>1</v>
      </c>
      <c r="C55" s="9" t="s">
        <v>143</v>
      </c>
      <c r="D55" s="9" t="s">
        <v>142</v>
      </c>
      <c r="E55" s="9"/>
      <c r="F55" s="9"/>
      <c r="G55" s="9" t="s">
        <v>143</v>
      </c>
      <c r="H55" s="9" t="s">
        <v>143</v>
      </c>
      <c r="I55" s="9" t="s">
        <v>142</v>
      </c>
      <c r="J55" s="9" t="s">
        <v>142</v>
      </c>
      <c r="K55" s="9" t="s">
        <v>143</v>
      </c>
      <c r="L55" s="9" t="s">
        <v>142</v>
      </c>
      <c r="M55" s="9" t="s">
        <v>143</v>
      </c>
      <c r="N55" s="9" t="s">
        <v>143</v>
      </c>
      <c r="O55" s="9" t="s">
        <v>142</v>
      </c>
      <c r="P55" s="9" t="s">
        <v>143</v>
      </c>
      <c r="Q55" s="9" t="s">
        <v>143</v>
      </c>
      <c r="R55" s="9" t="s">
        <v>143</v>
      </c>
      <c r="S55" s="9" t="s">
        <v>143</v>
      </c>
      <c r="T55" s="9" t="s">
        <v>143</v>
      </c>
      <c r="U55" s="9" t="s">
        <v>143</v>
      </c>
    </row>
    <row r="56" spans="1:21" x14ac:dyDescent="0.3">
      <c r="A56" s="23">
        <v>29</v>
      </c>
      <c r="B56" s="23">
        <v>0</v>
      </c>
      <c r="C56" s="9" t="s">
        <v>141</v>
      </c>
      <c r="D56" s="9" t="s">
        <v>141</v>
      </c>
      <c r="E56" s="9"/>
      <c r="F56" s="9"/>
      <c r="G56" s="9" t="s">
        <v>141</v>
      </c>
      <c r="H56" s="9" t="s">
        <v>141</v>
      </c>
      <c r="I56" s="9" t="s">
        <v>141</v>
      </c>
      <c r="J56" s="9" t="s">
        <v>141</v>
      </c>
      <c r="K56" s="9" t="s">
        <v>141</v>
      </c>
      <c r="L56" s="9" t="s">
        <v>141</v>
      </c>
      <c r="M56" s="9" t="s">
        <v>141</v>
      </c>
      <c r="N56" s="9" t="s">
        <v>141</v>
      </c>
      <c r="O56" s="9" t="s">
        <v>141</v>
      </c>
      <c r="P56" s="9" t="s">
        <v>141</v>
      </c>
      <c r="Q56" s="9" t="s">
        <v>141</v>
      </c>
      <c r="R56" s="9" t="s">
        <v>141</v>
      </c>
      <c r="S56" s="9" t="s">
        <v>141</v>
      </c>
      <c r="T56" s="9" t="s">
        <v>141</v>
      </c>
      <c r="U56" s="9" t="s">
        <v>141</v>
      </c>
    </row>
    <row r="57" spans="1:21" x14ac:dyDescent="0.3">
      <c r="A57" s="23">
        <v>30</v>
      </c>
      <c r="B57" s="23">
        <v>1</v>
      </c>
      <c r="C57" s="9" t="s">
        <v>142</v>
      </c>
      <c r="D57" s="9" t="s">
        <v>143</v>
      </c>
      <c r="E57" s="9"/>
      <c r="F57" s="9"/>
      <c r="G57" s="9" t="s">
        <v>143</v>
      </c>
      <c r="H57" s="9" t="s">
        <v>143</v>
      </c>
      <c r="I57" s="9" t="s">
        <v>142</v>
      </c>
      <c r="J57" s="9" t="s">
        <v>142</v>
      </c>
      <c r="K57" s="9" t="s">
        <v>143</v>
      </c>
      <c r="L57" s="9" t="s">
        <v>142</v>
      </c>
      <c r="M57" s="9" t="s">
        <v>143</v>
      </c>
      <c r="N57" s="9" t="s">
        <v>143</v>
      </c>
      <c r="O57" s="9" t="s">
        <v>142</v>
      </c>
      <c r="P57" s="9" t="s">
        <v>142</v>
      </c>
      <c r="Q57" s="9" t="s">
        <v>143</v>
      </c>
      <c r="R57" s="9" t="s">
        <v>143</v>
      </c>
      <c r="S57" s="9" t="s">
        <v>142</v>
      </c>
      <c r="T57" s="9" t="s">
        <v>142</v>
      </c>
      <c r="U57" s="9" t="s">
        <v>142</v>
      </c>
    </row>
    <row r="58" spans="1:21" x14ac:dyDescent="0.3">
      <c r="A58" s="23">
        <v>31</v>
      </c>
      <c r="B58" s="23">
        <v>0</v>
      </c>
      <c r="C58" s="9" t="s">
        <v>141</v>
      </c>
      <c r="D58" s="9" t="s">
        <v>141</v>
      </c>
      <c r="E58" s="9"/>
      <c r="F58" s="9"/>
      <c r="G58" s="9" t="s">
        <v>141</v>
      </c>
      <c r="H58" s="9" t="s">
        <v>141</v>
      </c>
      <c r="I58" s="9" t="s">
        <v>141</v>
      </c>
      <c r="J58" s="9" t="s">
        <v>141</v>
      </c>
      <c r="K58" s="9" t="s">
        <v>141</v>
      </c>
      <c r="L58" s="9" t="s">
        <v>141</v>
      </c>
      <c r="M58" s="9" t="s">
        <v>141</v>
      </c>
      <c r="N58" s="9" t="s">
        <v>141</v>
      </c>
      <c r="O58" s="9" t="s">
        <v>141</v>
      </c>
      <c r="P58" s="9" t="s">
        <v>141</v>
      </c>
      <c r="Q58" s="9" t="s">
        <v>141</v>
      </c>
      <c r="R58" s="9" t="s">
        <v>141</v>
      </c>
      <c r="S58" s="9" t="s">
        <v>141</v>
      </c>
      <c r="T58" s="9" t="s">
        <v>141</v>
      </c>
      <c r="U58" s="9" t="s">
        <v>141</v>
      </c>
    </row>
    <row r="59" spans="1:21" x14ac:dyDescent="0.3">
      <c r="A59" s="23">
        <v>32</v>
      </c>
      <c r="B59" s="23">
        <v>0</v>
      </c>
      <c r="C59" s="9" t="s">
        <v>141</v>
      </c>
      <c r="D59" s="9" t="s">
        <v>141</v>
      </c>
      <c r="E59" s="9"/>
      <c r="F59" s="9"/>
      <c r="G59" s="9" t="s">
        <v>141</v>
      </c>
      <c r="H59" s="9" t="s">
        <v>141</v>
      </c>
      <c r="I59" s="9" t="s">
        <v>141</v>
      </c>
      <c r="J59" s="9" t="s">
        <v>141</v>
      </c>
      <c r="K59" s="9" t="s">
        <v>141</v>
      </c>
      <c r="L59" s="9" t="s">
        <v>141</v>
      </c>
      <c r="M59" s="9" t="s">
        <v>141</v>
      </c>
      <c r="N59" s="9" t="s">
        <v>141</v>
      </c>
      <c r="O59" s="9" t="s">
        <v>141</v>
      </c>
      <c r="P59" s="9" t="s">
        <v>141</v>
      </c>
      <c r="Q59" s="9" t="s">
        <v>141</v>
      </c>
      <c r="R59" s="9" t="s">
        <v>141</v>
      </c>
      <c r="S59" s="9" t="s">
        <v>141</v>
      </c>
      <c r="T59" s="9" t="s">
        <v>141</v>
      </c>
      <c r="U59" s="9" t="s">
        <v>141</v>
      </c>
    </row>
    <row r="60" spans="1:21" x14ac:dyDescent="0.3">
      <c r="A60" s="23">
        <v>33</v>
      </c>
      <c r="B60" s="23">
        <v>1</v>
      </c>
      <c r="C60" s="9" t="s">
        <v>143</v>
      </c>
      <c r="D60" s="9" t="s">
        <v>143</v>
      </c>
      <c r="E60" s="9"/>
      <c r="F60" s="9"/>
      <c r="G60" s="9" t="s">
        <v>142</v>
      </c>
      <c r="H60" s="9" t="s">
        <v>143</v>
      </c>
      <c r="I60" s="9" t="s">
        <v>142</v>
      </c>
      <c r="J60" s="9" t="s">
        <v>142</v>
      </c>
      <c r="K60" s="9" t="s">
        <v>143</v>
      </c>
      <c r="L60" s="9" t="s">
        <v>143</v>
      </c>
      <c r="M60" s="9" t="s">
        <v>142</v>
      </c>
      <c r="N60" s="9" t="s">
        <v>143</v>
      </c>
      <c r="O60" s="9" t="s">
        <v>142</v>
      </c>
      <c r="P60" s="9" t="s">
        <v>143</v>
      </c>
      <c r="Q60" s="9" t="s">
        <v>143</v>
      </c>
      <c r="R60" s="9" t="s">
        <v>142</v>
      </c>
      <c r="S60" s="9" t="s">
        <v>143</v>
      </c>
      <c r="T60" s="9" t="s">
        <v>143</v>
      </c>
      <c r="U60" s="9" t="s">
        <v>143</v>
      </c>
    </row>
    <row r="61" spans="1:21" x14ac:dyDescent="0.3">
      <c r="A61" s="23">
        <v>34</v>
      </c>
      <c r="B61" s="23">
        <v>0</v>
      </c>
      <c r="C61" s="9" t="s">
        <v>141</v>
      </c>
      <c r="D61" s="9" t="s">
        <v>141</v>
      </c>
      <c r="E61" s="9"/>
      <c r="F61" s="9"/>
      <c r="G61" s="9" t="s">
        <v>141</v>
      </c>
      <c r="H61" s="9" t="s">
        <v>141</v>
      </c>
      <c r="I61" s="9" t="s">
        <v>141</v>
      </c>
      <c r="J61" s="9" t="s">
        <v>141</v>
      </c>
      <c r="K61" s="9" t="s">
        <v>141</v>
      </c>
      <c r="L61" s="9" t="s">
        <v>141</v>
      </c>
      <c r="M61" s="9" t="s">
        <v>141</v>
      </c>
      <c r="N61" s="9" t="s">
        <v>141</v>
      </c>
      <c r="O61" s="9" t="s">
        <v>141</v>
      </c>
      <c r="P61" s="9" t="s">
        <v>141</v>
      </c>
      <c r="Q61" s="9" t="s">
        <v>141</v>
      </c>
      <c r="R61" s="9" t="s">
        <v>141</v>
      </c>
      <c r="S61" s="9" t="s">
        <v>141</v>
      </c>
      <c r="T61" s="9" t="s">
        <v>141</v>
      </c>
      <c r="U61" s="9" t="s">
        <v>141</v>
      </c>
    </row>
    <row r="62" spans="1:21" x14ac:dyDescent="0.3">
      <c r="A62" s="23">
        <v>35</v>
      </c>
      <c r="B62" s="23">
        <v>0</v>
      </c>
      <c r="C62" s="9" t="s">
        <v>141</v>
      </c>
      <c r="D62" s="9" t="s">
        <v>141</v>
      </c>
      <c r="E62" s="9"/>
      <c r="F62" s="9"/>
      <c r="G62" s="9" t="s">
        <v>141</v>
      </c>
      <c r="H62" s="9" t="s">
        <v>141</v>
      </c>
      <c r="I62" s="9" t="s">
        <v>141</v>
      </c>
      <c r="J62" s="9" t="s">
        <v>141</v>
      </c>
      <c r="K62" s="9" t="s">
        <v>141</v>
      </c>
      <c r="L62" s="9" t="s">
        <v>141</v>
      </c>
      <c r="M62" s="9" t="s">
        <v>141</v>
      </c>
      <c r="N62" s="9" t="s">
        <v>141</v>
      </c>
      <c r="O62" s="9" t="s">
        <v>141</v>
      </c>
      <c r="P62" s="9" t="s">
        <v>141</v>
      </c>
      <c r="Q62" s="9" t="s">
        <v>141</v>
      </c>
      <c r="R62" s="9" t="s">
        <v>141</v>
      </c>
      <c r="S62" s="9" t="s">
        <v>141</v>
      </c>
      <c r="T62" s="9" t="s">
        <v>141</v>
      </c>
      <c r="U62" s="9" t="s">
        <v>141</v>
      </c>
    </row>
    <row r="63" spans="1:21" x14ac:dyDescent="0.3">
      <c r="A63" s="23">
        <v>36</v>
      </c>
      <c r="B63" s="23">
        <v>0</v>
      </c>
      <c r="C63" s="9" t="s">
        <v>141</v>
      </c>
      <c r="D63" s="9" t="s">
        <v>141</v>
      </c>
      <c r="E63" s="9"/>
      <c r="F63" s="9"/>
      <c r="G63" s="9" t="s">
        <v>141</v>
      </c>
      <c r="H63" s="9" t="s">
        <v>141</v>
      </c>
      <c r="I63" s="9" t="s">
        <v>141</v>
      </c>
      <c r="J63" s="9" t="s">
        <v>141</v>
      </c>
      <c r="K63" s="9" t="s">
        <v>141</v>
      </c>
      <c r="L63" s="9" t="s">
        <v>141</v>
      </c>
      <c r="M63" s="9" t="s">
        <v>141</v>
      </c>
      <c r="N63" s="9" t="s">
        <v>141</v>
      </c>
      <c r="O63" s="9" t="s">
        <v>141</v>
      </c>
      <c r="P63" s="9" t="s">
        <v>141</v>
      </c>
      <c r="Q63" s="9" t="s">
        <v>141</v>
      </c>
      <c r="R63" s="9" t="s">
        <v>141</v>
      </c>
      <c r="S63" s="9" t="s">
        <v>141</v>
      </c>
      <c r="T63" s="9" t="s">
        <v>141</v>
      </c>
      <c r="U63" s="9" t="s">
        <v>141</v>
      </c>
    </row>
    <row r="64" spans="1:21" x14ac:dyDescent="0.3">
      <c r="A64" s="23">
        <v>37</v>
      </c>
      <c r="B64" s="23">
        <v>1</v>
      </c>
      <c r="C64" s="9" t="s">
        <v>142</v>
      </c>
      <c r="D64" s="9" t="s">
        <v>142</v>
      </c>
      <c r="E64" s="9"/>
      <c r="F64" s="9"/>
      <c r="G64" s="9" t="s">
        <v>143</v>
      </c>
      <c r="H64" s="9" t="s">
        <v>143</v>
      </c>
      <c r="I64" s="9" t="s">
        <v>142</v>
      </c>
      <c r="J64" s="9" t="s">
        <v>143</v>
      </c>
      <c r="K64" s="9" t="s">
        <v>142</v>
      </c>
      <c r="L64" s="9" t="s">
        <v>142</v>
      </c>
      <c r="M64" s="9" t="s">
        <v>142</v>
      </c>
      <c r="N64" s="9" t="s">
        <v>143</v>
      </c>
      <c r="O64" s="9" t="s">
        <v>143</v>
      </c>
      <c r="P64" s="9" t="s">
        <v>142</v>
      </c>
      <c r="Q64" s="9" t="s">
        <v>143</v>
      </c>
      <c r="R64" s="9" t="s">
        <v>143</v>
      </c>
      <c r="S64" s="9" t="s">
        <v>142</v>
      </c>
      <c r="T64" s="9" t="s">
        <v>142</v>
      </c>
      <c r="U64" s="9" t="s">
        <v>143</v>
      </c>
    </row>
    <row r="65" spans="1:21" x14ac:dyDescent="0.3">
      <c r="A65" s="23">
        <v>38</v>
      </c>
      <c r="B65" s="23">
        <v>0</v>
      </c>
      <c r="C65" s="9" t="s">
        <v>141</v>
      </c>
      <c r="D65" s="9" t="s">
        <v>141</v>
      </c>
      <c r="E65" s="9"/>
      <c r="F65" s="9"/>
      <c r="G65" s="9" t="s">
        <v>141</v>
      </c>
      <c r="H65" s="9" t="s">
        <v>141</v>
      </c>
      <c r="I65" s="9" t="s">
        <v>141</v>
      </c>
      <c r="J65" s="9" t="s">
        <v>141</v>
      </c>
      <c r="K65" s="9" t="s">
        <v>141</v>
      </c>
      <c r="L65" s="9" t="s">
        <v>141</v>
      </c>
      <c r="M65" s="9" t="s">
        <v>141</v>
      </c>
      <c r="N65" s="9" t="s">
        <v>141</v>
      </c>
      <c r="O65" s="9" t="s">
        <v>141</v>
      </c>
      <c r="P65" s="9" t="s">
        <v>141</v>
      </c>
      <c r="Q65" s="9" t="s">
        <v>141</v>
      </c>
      <c r="R65" s="9" t="s">
        <v>141</v>
      </c>
      <c r="S65" s="9" t="s">
        <v>141</v>
      </c>
      <c r="T65" s="9" t="s">
        <v>141</v>
      </c>
      <c r="U65" s="9" t="s">
        <v>141</v>
      </c>
    </row>
    <row r="66" spans="1:21" x14ac:dyDescent="0.3">
      <c r="A66" s="23">
        <v>39</v>
      </c>
      <c r="B66" s="23">
        <v>1</v>
      </c>
      <c r="C66" s="9" t="s">
        <v>142</v>
      </c>
      <c r="D66" s="9" t="s">
        <v>142</v>
      </c>
      <c r="E66" s="9"/>
      <c r="F66" s="9"/>
      <c r="G66" s="9" t="s">
        <v>143</v>
      </c>
      <c r="H66" s="9" t="s">
        <v>142</v>
      </c>
      <c r="I66" s="9" t="s">
        <v>143</v>
      </c>
      <c r="J66" s="9" t="s">
        <v>143</v>
      </c>
      <c r="K66" s="9" t="s">
        <v>143</v>
      </c>
      <c r="L66" s="9" t="s">
        <v>142</v>
      </c>
      <c r="M66" s="9" t="s">
        <v>143</v>
      </c>
      <c r="N66" s="9" t="s">
        <v>142</v>
      </c>
      <c r="O66" s="9" t="s">
        <v>143</v>
      </c>
      <c r="P66" s="9" t="s">
        <v>142</v>
      </c>
      <c r="Q66" s="9" t="s">
        <v>143</v>
      </c>
      <c r="R66" s="9" t="s">
        <v>143</v>
      </c>
      <c r="S66" s="9" t="s">
        <v>142</v>
      </c>
      <c r="T66" s="9" t="s">
        <v>142</v>
      </c>
      <c r="U66" s="9" t="s">
        <v>142</v>
      </c>
    </row>
    <row r="67" spans="1:21" x14ac:dyDescent="0.3">
      <c r="A67" s="23">
        <v>40</v>
      </c>
      <c r="B67" s="23">
        <v>1</v>
      </c>
      <c r="C67" s="9" t="s">
        <v>143</v>
      </c>
      <c r="D67" s="9" t="s">
        <v>142</v>
      </c>
      <c r="E67" s="9"/>
      <c r="F67" s="9"/>
      <c r="G67" s="9" t="s">
        <v>143</v>
      </c>
      <c r="H67" s="9" t="s">
        <v>143</v>
      </c>
      <c r="I67" s="9" t="s">
        <v>142</v>
      </c>
      <c r="J67" s="9" t="s">
        <v>142</v>
      </c>
      <c r="K67" s="9" t="s">
        <v>142</v>
      </c>
      <c r="L67" s="9" t="s">
        <v>142</v>
      </c>
      <c r="M67" s="9" t="s">
        <v>142</v>
      </c>
      <c r="N67" s="9" t="s">
        <v>143</v>
      </c>
      <c r="O67" s="9" t="s">
        <v>142</v>
      </c>
      <c r="P67" s="9" t="s">
        <v>143</v>
      </c>
      <c r="Q67" s="9" t="s">
        <v>142</v>
      </c>
      <c r="R67" s="9" t="s">
        <v>143</v>
      </c>
      <c r="S67" s="9" t="s">
        <v>142</v>
      </c>
      <c r="T67" s="9" t="s">
        <v>142</v>
      </c>
      <c r="U67" s="9" t="s">
        <v>142</v>
      </c>
    </row>
    <row r="68" spans="1:21" x14ac:dyDescent="0.3">
      <c r="A68" s="23">
        <v>41</v>
      </c>
      <c r="B68" s="23">
        <v>1</v>
      </c>
      <c r="C68" s="9" t="s">
        <v>143</v>
      </c>
      <c r="D68" s="9" t="s">
        <v>142</v>
      </c>
      <c r="E68" s="9"/>
      <c r="F68" s="9"/>
      <c r="G68" s="9" t="s">
        <v>143</v>
      </c>
      <c r="H68" s="9" t="s">
        <v>142</v>
      </c>
      <c r="I68" s="9" t="s">
        <v>142</v>
      </c>
      <c r="J68" s="9" t="s">
        <v>142</v>
      </c>
      <c r="K68" s="9" t="s">
        <v>142</v>
      </c>
      <c r="L68" s="9" t="s">
        <v>142</v>
      </c>
      <c r="M68" s="9" t="s">
        <v>142</v>
      </c>
      <c r="N68" s="9" t="s">
        <v>143</v>
      </c>
      <c r="O68" s="9" t="s">
        <v>142</v>
      </c>
      <c r="P68" s="9" t="s">
        <v>143</v>
      </c>
      <c r="Q68" s="9" t="s">
        <v>143</v>
      </c>
      <c r="R68" s="9" t="s">
        <v>142</v>
      </c>
      <c r="S68" s="9" t="s">
        <v>142</v>
      </c>
      <c r="T68" s="9" t="s">
        <v>142</v>
      </c>
      <c r="U68" s="9" t="s">
        <v>142</v>
      </c>
    </row>
    <row r="69" spans="1:21" x14ac:dyDescent="0.3">
      <c r="A69" s="23">
        <v>42</v>
      </c>
      <c r="B69" s="23">
        <v>1</v>
      </c>
      <c r="C69" s="9" t="s">
        <v>142</v>
      </c>
      <c r="D69" s="9" t="s">
        <v>143</v>
      </c>
      <c r="E69" s="9"/>
      <c r="F69" s="9"/>
      <c r="G69" s="9" t="s">
        <v>143</v>
      </c>
      <c r="H69" s="9" t="s">
        <v>142</v>
      </c>
      <c r="I69" s="9" t="s">
        <v>142</v>
      </c>
      <c r="J69" s="9" t="s">
        <v>142</v>
      </c>
      <c r="K69" s="9" t="s">
        <v>143</v>
      </c>
      <c r="L69" s="9" t="s">
        <v>143</v>
      </c>
      <c r="M69" s="9" t="s">
        <v>143</v>
      </c>
      <c r="N69" s="9" t="s">
        <v>142</v>
      </c>
      <c r="O69" s="9" t="s">
        <v>143</v>
      </c>
      <c r="P69" s="9" t="s">
        <v>143</v>
      </c>
      <c r="Q69" s="9" t="s">
        <v>142</v>
      </c>
      <c r="R69" s="9" t="s">
        <v>143</v>
      </c>
      <c r="S69" s="9" t="s">
        <v>142</v>
      </c>
      <c r="T69" s="9" t="s">
        <v>142</v>
      </c>
      <c r="U69" s="9" t="s">
        <v>142</v>
      </c>
    </row>
    <row r="70" spans="1:21" x14ac:dyDescent="0.3">
      <c r="A70" s="23">
        <v>43</v>
      </c>
      <c r="B70" s="23">
        <v>1</v>
      </c>
      <c r="C70" s="9" t="s">
        <v>143</v>
      </c>
      <c r="D70" s="9" t="s">
        <v>142</v>
      </c>
      <c r="E70" s="9"/>
      <c r="F70" s="9"/>
      <c r="G70" s="9" t="s">
        <v>143</v>
      </c>
      <c r="H70" s="9" t="s">
        <v>143</v>
      </c>
      <c r="I70" s="9" t="s">
        <v>143</v>
      </c>
      <c r="J70" s="9" t="s">
        <v>143</v>
      </c>
      <c r="K70" s="9" t="s">
        <v>143</v>
      </c>
      <c r="L70" s="9" t="s">
        <v>143</v>
      </c>
      <c r="M70" s="9" t="s">
        <v>142</v>
      </c>
      <c r="N70" s="9" t="s">
        <v>142</v>
      </c>
      <c r="O70" s="9" t="s">
        <v>143</v>
      </c>
      <c r="P70" s="9" t="s">
        <v>143</v>
      </c>
      <c r="Q70" s="9" t="s">
        <v>142</v>
      </c>
      <c r="R70" s="9" t="s">
        <v>143</v>
      </c>
      <c r="S70" s="9" t="s">
        <v>143</v>
      </c>
      <c r="T70" s="9" t="s">
        <v>142</v>
      </c>
      <c r="U70" s="9" t="s">
        <v>142</v>
      </c>
    </row>
    <row r="71" spans="1:21" x14ac:dyDescent="0.3">
      <c r="A71" s="23">
        <v>44</v>
      </c>
      <c r="B71" s="23">
        <v>0</v>
      </c>
      <c r="C71" s="9" t="s">
        <v>141</v>
      </c>
      <c r="D71" s="9" t="s">
        <v>141</v>
      </c>
      <c r="E71" s="9"/>
      <c r="F71" s="9"/>
      <c r="G71" s="9" t="s">
        <v>141</v>
      </c>
      <c r="H71" s="9" t="s">
        <v>141</v>
      </c>
      <c r="I71" s="9" t="s">
        <v>141</v>
      </c>
      <c r="J71" s="9" t="s">
        <v>141</v>
      </c>
      <c r="K71" s="9" t="s">
        <v>141</v>
      </c>
      <c r="L71" s="9" t="s">
        <v>141</v>
      </c>
      <c r="M71" s="9" t="s">
        <v>141</v>
      </c>
      <c r="N71" s="9" t="s">
        <v>141</v>
      </c>
      <c r="O71" s="9" t="s">
        <v>141</v>
      </c>
      <c r="P71" s="9" t="s">
        <v>141</v>
      </c>
      <c r="Q71" s="9" t="s">
        <v>141</v>
      </c>
      <c r="R71" s="9" t="s">
        <v>141</v>
      </c>
      <c r="S71" s="9" t="s">
        <v>141</v>
      </c>
      <c r="T71" s="9" t="s">
        <v>141</v>
      </c>
      <c r="U71" s="9" t="s">
        <v>141</v>
      </c>
    </row>
    <row r="72" spans="1:21" x14ac:dyDescent="0.3">
      <c r="A72" s="23">
        <v>45</v>
      </c>
      <c r="B72" s="23">
        <v>0</v>
      </c>
      <c r="C72" s="9" t="s">
        <v>141</v>
      </c>
      <c r="D72" s="9" t="s">
        <v>141</v>
      </c>
      <c r="E72" s="9"/>
      <c r="F72" s="9"/>
      <c r="G72" s="9" t="s">
        <v>141</v>
      </c>
      <c r="H72" s="9" t="s">
        <v>141</v>
      </c>
      <c r="I72" s="9" t="s">
        <v>141</v>
      </c>
      <c r="J72" s="9" t="s">
        <v>141</v>
      </c>
      <c r="K72" s="9" t="s">
        <v>141</v>
      </c>
      <c r="L72" s="9" t="s">
        <v>141</v>
      </c>
      <c r="M72" s="9" t="s">
        <v>141</v>
      </c>
      <c r="N72" s="9" t="s">
        <v>141</v>
      </c>
      <c r="O72" s="9" t="s">
        <v>141</v>
      </c>
      <c r="P72" s="9" t="s">
        <v>141</v>
      </c>
      <c r="Q72" s="9" t="s">
        <v>141</v>
      </c>
      <c r="R72" s="9" t="s">
        <v>141</v>
      </c>
      <c r="S72" s="9" t="s">
        <v>141</v>
      </c>
      <c r="T72" s="9" t="s">
        <v>141</v>
      </c>
      <c r="U72" s="9" t="s">
        <v>141</v>
      </c>
    </row>
    <row r="73" spans="1:21" x14ac:dyDescent="0.3">
      <c r="A73" s="23">
        <v>46</v>
      </c>
      <c r="B73" s="23">
        <v>1</v>
      </c>
      <c r="C73" s="9" t="s">
        <v>143</v>
      </c>
      <c r="D73" s="9" t="s">
        <v>142</v>
      </c>
      <c r="E73" s="9"/>
      <c r="F73" s="9"/>
      <c r="G73" s="9" t="s">
        <v>142</v>
      </c>
      <c r="H73" s="9" t="s">
        <v>142</v>
      </c>
      <c r="I73" s="9" t="s">
        <v>142</v>
      </c>
      <c r="J73" s="9" t="s">
        <v>142</v>
      </c>
      <c r="K73" s="9" t="s">
        <v>143</v>
      </c>
      <c r="L73" s="9" t="s">
        <v>143</v>
      </c>
      <c r="M73" s="9" t="s">
        <v>143</v>
      </c>
      <c r="N73" s="9" t="s">
        <v>143</v>
      </c>
      <c r="O73" s="9" t="s">
        <v>142</v>
      </c>
      <c r="P73" s="9" t="s">
        <v>143</v>
      </c>
      <c r="Q73" s="9" t="s">
        <v>143</v>
      </c>
      <c r="R73" s="9" t="s">
        <v>142</v>
      </c>
      <c r="S73" s="9" t="s">
        <v>143</v>
      </c>
      <c r="T73" s="9" t="s">
        <v>143</v>
      </c>
      <c r="U73" s="9" t="s">
        <v>142</v>
      </c>
    </row>
    <row r="74" spans="1:21" x14ac:dyDescent="0.3">
      <c r="A74" s="23">
        <v>47</v>
      </c>
      <c r="B74" s="23">
        <v>0</v>
      </c>
      <c r="C74" s="9" t="s">
        <v>141</v>
      </c>
      <c r="D74" s="9" t="s">
        <v>141</v>
      </c>
      <c r="E74" s="9"/>
      <c r="F74" s="9"/>
      <c r="G74" s="9" t="s">
        <v>141</v>
      </c>
      <c r="H74" s="9" t="s">
        <v>141</v>
      </c>
      <c r="I74" s="9" t="s">
        <v>141</v>
      </c>
      <c r="J74" s="9" t="s">
        <v>141</v>
      </c>
      <c r="K74" s="9" t="s">
        <v>141</v>
      </c>
      <c r="L74" s="9" t="s">
        <v>141</v>
      </c>
      <c r="M74" s="9" t="s">
        <v>141</v>
      </c>
      <c r="N74" s="9" t="s">
        <v>141</v>
      </c>
      <c r="O74" s="9" t="s">
        <v>141</v>
      </c>
      <c r="P74" s="9" t="s">
        <v>141</v>
      </c>
      <c r="Q74" s="9" t="s">
        <v>141</v>
      </c>
      <c r="R74" s="9" t="s">
        <v>141</v>
      </c>
      <c r="S74" s="9" t="s">
        <v>141</v>
      </c>
      <c r="T74" s="9" t="s">
        <v>141</v>
      </c>
      <c r="U74" s="9" t="s">
        <v>141</v>
      </c>
    </row>
    <row r="75" spans="1:21" x14ac:dyDescent="0.3">
      <c r="A75" s="23">
        <v>48</v>
      </c>
      <c r="B75" s="23">
        <v>0</v>
      </c>
      <c r="C75" s="9" t="s">
        <v>141</v>
      </c>
      <c r="D75" s="9" t="s">
        <v>141</v>
      </c>
      <c r="E75" s="9"/>
      <c r="F75" s="9"/>
      <c r="G75" s="9" t="s">
        <v>141</v>
      </c>
      <c r="H75" s="9" t="s">
        <v>141</v>
      </c>
      <c r="I75" s="9" t="s">
        <v>141</v>
      </c>
      <c r="J75" s="9" t="s">
        <v>141</v>
      </c>
      <c r="K75" s="9" t="s">
        <v>141</v>
      </c>
      <c r="L75" s="9" t="s">
        <v>141</v>
      </c>
      <c r="M75" s="9" t="s">
        <v>141</v>
      </c>
      <c r="N75" s="9" t="s">
        <v>141</v>
      </c>
      <c r="O75" s="9" t="s">
        <v>141</v>
      </c>
      <c r="P75" s="9" t="s">
        <v>141</v>
      </c>
      <c r="Q75" s="9" t="s">
        <v>141</v>
      </c>
      <c r="R75" s="9" t="s">
        <v>141</v>
      </c>
      <c r="S75" s="9" t="s">
        <v>141</v>
      </c>
      <c r="T75" s="9" t="s">
        <v>141</v>
      </c>
      <c r="U75" s="9" t="s">
        <v>141</v>
      </c>
    </row>
    <row r="76" spans="1:21" x14ac:dyDescent="0.3">
      <c r="A76" s="23">
        <v>49</v>
      </c>
      <c r="B76" s="23">
        <v>1</v>
      </c>
      <c r="C76" s="9" t="s">
        <v>142</v>
      </c>
      <c r="D76" s="9" t="s">
        <v>143</v>
      </c>
      <c r="E76" s="9"/>
      <c r="F76" s="9"/>
      <c r="G76" s="9" t="s">
        <v>143</v>
      </c>
      <c r="H76" s="9" t="s">
        <v>143</v>
      </c>
      <c r="I76" s="9" t="s">
        <v>142</v>
      </c>
      <c r="J76" s="9" t="s">
        <v>143</v>
      </c>
      <c r="K76" s="9" t="s">
        <v>142</v>
      </c>
      <c r="L76" s="9" t="s">
        <v>142</v>
      </c>
      <c r="M76" s="9" t="s">
        <v>143</v>
      </c>
      <c r="N76" s="9" t="s">
        <v>142</v>
      </c>
      <c r="O76" s="9" t="s">
        <v>142</v>
      </c>
      <c r="P76" s="9" t="s">
        <v>143</v>
      </c>
      <c r="Q76" s="9" t="s">
        <v>142</v>
      </c>
      <c r="R76" s="9" t="s">
        <v>142</v>
      </c>
      <c r="S76" s="9" t="s">
        <v>143</v>
      </c>
      <c r="T76" s="9" t="s">
        <v>142</v>
      </c>
      <c r="U76" s="9" t="s">
        <v>142</v>
      </c>
    </row>
    <row r="77" spans="1:21" x14ac:dyDescent="0.3">
      <c r="A77" s="23">
        <v>50</v>
      </c>
      <c r="B77" s="23">
        <v>0</v>
      </c>
      <c r="C77" s="9" t="s">
        <v>141</v>
      </c>
      <c r="D77" s="9" t="s">
        <v>141</v>
      </c>
      <c r="E77" s="9"/>
      <c r="F77" s="9"/>
      <c r="G77" s="9" t="s">
        <v>141</v>
      </c>
      <c r="H77" s="9" t="s">
        <v>141</v>
      </c>
      <c r="I77" s="9" t="s">
        <v>141</v>
      </c>
      <c r="J77" s="9" t="s">
        <v>141</v>
      </c>
      <c r="K77" s="9" t="s">
        <v>141</v>
      </c>
      <c r="L77" s="9" t="s">
        <v>141</v>
      </c>
      <c r="M77" s="9" t="s">
        <v>141</v>
      </c>
      <c r="N77" s="9" t="s">
        <v>141</v>
      </c>
      <c r="O77" s="9" t="s">
        <v>141</v>
      </c>
      <c r="P77" s="9" t="s">
        <v>141</v>
      </c>
      <c r="Q77" s="9" t="s">
        <v>141</v>
      </c>
      <c r="R77" s="9" t="s">
        <v>141</v>
      </c>
      <c r="S77" s="9" t="s">
        <v>141</v>
      </c>
      <c r="T77" s="9" t="s">
        <v>141</v>
      </c>
      <c r="U77" s="9" t="s">
        <v>141</v>
      </c>
    </row>
    <row r="78" spans="1:21" x14ac:dyDescent="0.3">
      <c r="A78" s="23">
        <v>51</v>
      </c>
      <c r="B78" s="23">
        <v>1</v>
      </c>
      <c r="C78" s="9" t="s">
        <v>143</v>
      </c>
      <c r="D78" s="9" t="s">
        <v>142</v>
      </c>
      <c r="E78" s="9"/>
      <c r="F78" s="9"/>
      <c r="G78" s="9" t="s">
        <v>143</v>
      </c>
      <c r="H78" s="9" t="s">
        <v>142</v>
      </c>
      <c r="I78" s="9" t="s">
        <v>142</v>
      </c>
      <c r="J78" s="9" t="s">
        <v>143</v>
      </c>
      <c r="K78" s="9" t="s">
        <v>143</v>
      </c>
      <c r="L78" s="9" t="s">
        <v>143</v>
      </c>
      <c r="M78" s="9" t="s">
        <v>143</v>
      </c>
      <c r="N78" s="9" t="s">
        <v>142</v>
      </c>
      <c r="O78" s="9" t="s">
        <v>142</v>
      </c>
      <c r="P78" s="9" t="s">
        <v>143</v>
      </c>
      <c r="Q78" s="9" t="s">
        <v>142</v>
      </c>
      <c r="R78" s="9" t="s">
        <v>142</v>
      </c>
      <c r="S78" s="9" t="s">
        <v>143</v>
      </c>
      <c r="T78" s="9" t="s">
        <v>142</v>
      </c>
      <c r="U78" s="9" t="s">
        <v>143</v>
      </c>
    </row>
    <row r="79" spans="1:21" x14ac:dyDescent="0.3">
      <c r="A79" s="23">
        <v>52</v>
      </c>
      <c r="B79" s="23">
        <v>1</v>
      </c>
      <c r="C79" s="9" t="s">
        <v>143</v>
      </c>
      <c r="D79" s="9" t="s">
        <v>142</v>
      </c>
      <c r="E79" s="9"/>
      <c r="F79" s="9"/>
      <c r="G79" s="9" t="s">
        <v>142</v>
      </c>
      <c r="H79" s="9" t="s">
        <v>142</v>
      </c>
      <c r="I79" s="9" t="s">
        <v>142</v>
      </c>
      <c r="J79" s="9" t="s">
        <v>142</v>
      </c>
      <c r="K79" s="9" t="s">
        <v>143</v>
      </c>
      <c r="L79" s="9" t="s">
        <v>143</v>
      </c>
      <c r="M79" s="9" t="s">
        <v>143</v>
      </c>
      <c r="N79" s="9" t="s">
        <v>142</v>
      </c>
      <c r="O79" s="9" t="s">
        <v>143</v>
      </c>
      <c r="P79" s="9" t="s">
        <v>143</v>
      </c>
      <c r="Q79" s="9" t="s">
        <v>143</v>
      </c>
      <c r="R79" s="9" t="s">
        <v>143</v>
      </c>
      <c r="S79" s="9" t="s">
        <v>142</v>
      </c>
      <c r="T79" s="9" t="s">
        <v>142</v>
      </c>
      <c r="U79" s="9" t="s">
        <v>142</v>
      </c>
    </row>
    <row r="80" spans="1:21" x14ac:dyDescent="0.3">
      <c r="A80" s="23">
        <v>53</v>
      </c>
      <c r="B80" s="23">
        <v>0</v>
      </c>
      <c r="C80" s="9" t="s">
        <v>141</v>
      </c>
      <c r="D80" s="9" t="s">
        <v>141</v>
      </c>
      <c r="E80" s="9"/>
      <c r="F80" s="9"/>
      <c r="G80" s="9" t="s">
        <v>141</v>
      </c>
      <c r="H80" s="9" t="s">
        <v>141</v>
      </c>
      <c r="I80" s="9" t="s">
        <v>141</v>
      </c>
      <c r="J80" s="9" t="s">
        <v>141</v>
      </c>
      <c r="K80" s="9" t="s">
        <v>141</v>
      </c>
      <c r="L80" s="9" t="s">
        <v>141</v>
      </c>
      <c r="M80" s="9" t="s">
        <v>141</v>
      </c>
      <c r="N80" s="9" t="s">
        <v>141</v>
      </c>
      <c r="O80" s="9" t="s">
        <v>141</v>
      </c>
      <c r="P80" s="9" t="s">
        <v>141</v>
      </c>
      <c r="Q80" s="9" t="s">
        <v>141</v>
      </c>
      <c r="R80" s="9" t="s">
        <v>141</v>
      </c>
      <c r="S80" s="9" t="s">
        <v>141</v>
      </c>
      <c r="T80" s="9" t="s">
        <v>141</v>
      </c>
      <c r="U80" s="9" t="s">
        <v>141</v>
      </c>
    </row>
    <row r="81" spans="1:21" x14ac:dyDescent="0.3">
      <c r="A81" s="23">
        <v>54</v>
      </c>
      <c r="B81" s="23">
        <v>0</v>
      </c>
      <c r="C81" s="9" t="s">
        <v>141</v>
      </c>
      <c r="D81" s="9" t="s">
        <v>141</v>
      </c>
      <c r="E81" s="9"/>
      <c r="F81" s="9"/>
      <c r="G81" s="9" t="s">
        <v>141</v>
      </c>
      <c r="H81" s="9" t="s">
        <v>141</v>
      </c>
      <c r="I81" s="9" t="s">
        <v>141</v>
      </c>
      <c r="J81" s="9" t="s">
        <v>141</v>
      </c>
      <c r="K81" s="9" t="s">
        <v>141</v>
      </c>
      <c r="L81" s="9" t="s">
        <v>141</v>
      </c>
      <c r="M81" s="9" t="s">
        <v>141</v>
      </c>
      <c r="N81" s="9" t="s">
        <v>141</v>
      </c>
      <c r="O81" s="9" t="s">
        <v>141</v>
      </c>
      <c r="P81" s="9" t="s">
        <v>141</v>
      </c>
      <c r="Q81" s="9" t="s">
        <v>141</v>
      </c>
      <c r="R81" s="9" t="s">
        <v>141</v>
      </c>
      <c r="S81" s="9" t="s">
        <v>141</v>
      </c>
      <c r="T81" s="9" t="s">
        <v>141</v>
      </c>
      <c r="U81" s="9" t="s">
        <v>141</v>
      </c>
    </row>
    <row r="82" spans="1:21" x14ac:dyDescent="0.3">
      <c r="A82" s="23">
        <v>55</v>
      </c>
      <c r="B82" s="23">
        <v>1</v>
      </c>
      <c r="C82" s="9" t="s">
        <v>142</v>
      </c>
      <c r="D82" s="9" t="s">
        <v>143</v>
      </c>
      <c r="E82" s="9"/>
      <c r="F82" s="9"/>
      <c r="G82" s="9" t="s">
        <v>143</v>
      </c>
      <c r="H82" s="9" t="s">
        <v>143</v>
      </c>
      <c r="I82" s="9" t="s">
        <v>142</v>
      </c>
      <c r="J82" s="9" t="s">
        <v>143</v>
      </c>
      <c r="K82" s="9" t="s">
        <v>143</v>
      </c>
      <c r="L82" s="9" t="s">
        <v>143</v>
      </c>
      <c r="M82" s="9" t="s">
        <v>143</v>
      </c>
      <c r="N82" s="9" t="s">
        <v>143</v>
      </c>
      <c r="O82" s="9" t="s">
        <v>142</v>
      </c>
      <c r="P82" s="9" t="s">
        <v>143</v>
      </c>
      <c r="Q82" s="9" t="s">
        <v>143</v>
      </c>
      <c r="R82" s="9" t="s">
        <v>143</v>
      </c>
      <c r="S82" s="9" t="s">
        <v>142</v>
      </c>
      <c r="T82" s="9" t="s">
        <v>142</v>
      </c>
      <c r="U82" s="9" t="s">
        <v>143</v>
      </c>
    </row>
    <row r="83" spans="1:21" x14ac:dyDescent="0.3">
      <c r="A83" s="23">
        <v>56</v>
      </c>
      <c r="B83" s="23">
        <v>1</v>
      </c>
      <c r="C83" s="9" t="s">
        <v>142</v>
      </c>
      <c r="D83" s="9" t="s">
        <v>142</v>
      </c>
      <c r="E83" s="9"/>
      <c r="F83" s="9"/>
      <c r="G83" s="9" t="s">
        <v>143</v>
      </c>
      <c r="H83" s="9" t="s">
        <v>143</v>
      </c>
      <c r="I83" s="9" t="s">
        <v>143</v>
      </c>
      <c r="J83" s="9" t="s">
        <v>143</v>
      </c>
      <c r="K83" s="9" t="s">
        <v>143</v>
      </c>
      <c r="L83" s="9" t="s">
        <v>143</v>
      </c>
      <c r="M83" s="9" t="s">
        <v>142</v>
      </c>
      <c r="N83" s="9" t="s">
        <v>142</v>
      </c>
      <c r="O83" s="9" t="s">
        <v>143</v>
      </c>
      <c r="P83" s="9" t="s">
        <v>142</v>
      </c>
      <c r="Q83" s="9" t="s">
        <v>142</v>
      </c>
      <c r="R83" s="9" t="s">
        <v>143</v>
      </c>
      <c r="S83" s="9" t="s">
        <v>142</v>
      </c>
      <c r="T83" s="9" t="s">
        <v>142</v>
      </c>
      <c r="U83" s="9" t="s">
        <v>142</v>
      </c>
    </row>
    <row r="84" spans="1:21" x14ac:dyDescent="0.3">
      <c r="A84" s="23">
        <v>57</v>
      </c>
      <c r="B84" s="23">
        <v>1</v>
      </c>
      <c r="C84" s="9" t="s">
        <v>142</v>
      </c>
      <c r="D84" s="9" t="s">
        <v>142</v>
      </c>
      <c r="E84" s="9"/>
      <c r="F84" s="9"/>
      <c r="G84" s="9" t="s">
        <v>143</v>
      </c>
      <c r="H84" s="9" t="s">
        <v>143</v>
      </c>
      <c r="I84" s="9" t="s">
        <v>142</v>
      </c>
      <c r="J84" s="9" t="s">
        <v>143</v>
      </c>
      <c r="K84" s="9" t="s">
        <v>142</v>
      </c>
      <c r="L84" s="9" t="s">
        <v>142</v>
      </c>
      <c r="M84" s="9" t="s">
        <v>143</v>
      </c>
      <c r="N84" s="9" t="s">
        <v>142</v>
      </c>
      <c r="O84" s="9" t="s">
        <v>142</v>
      </c>
      <c r="P84" s="9" t="s">
        <v>143</v>
      </c>
      <c r="Q84" s="9" t="s">
        <v>143</v>
      </c>
      <c r="R84" s="9" t="s">
        <v>143</v>
      </c>
      <c r="S84" s="9" t="s">
        <v>143</v>
      </c>
      <c r="T84" s="9" t="s">
        <v>142</v>
      </c>
      <c r="U84" s="9" t="s">
        <v>143</v>
      </c>
    </row>
    <row r="85" spans="1:21" x14ac:dyDescent="0.3">
      <c r="A85" s="23">
        <v>58</v>
      </c>
      <c r="B85" s="23">
        <v>0</v>
      </c>
      <c r="C85" s="9" t="s">
        <v>141</v>
      </c>
      <c r="D85" s="9" t="s">
        <v>141</v>
      </c>
      <c r="E85" s="9"/>
      <c r="F85" s="9"/>
      <c r="G85" s="9" t="s">
        <v>141</v>
      </c>
      <c r="H85" s="9" t="s">
        <v>141</v>
      </c>
      <c r="I85" s="9" t="s">
        <v>141</v>
      </c>
      <c r="J85" s="9" t="s">
        <v>141</v>
      </c>
      <c r="K85" s="9" t="s">
        <v>141</v>
      </c>
      <c r="L85" s="9" t="s">
        <v>141</v>
      </c>
      <c r="M85" s="9" t="s">
        <v>141</v>
      </c>
      <c r="N85" s="9" t="s">
        <v>141</v>
      </c>
      <c r="O85" s="9" t="s">
        <v>141</v>
      </c>
      <c r="P85" s="9" t="s">
        <v>141</v>
      </c>
      <c r="Q85" s="9" t="s">
        <v>141</v>
      </c>
      <c r="R85" s="9" t="s">
        <v>141</v>
      </c>
      <c r="S85" s="9" t="s">
        <v>141</v>
      </c>
      <c r="T85" s="9" t="s">
        <v>141</v>
      </c>
      <c r="U85" s="9" t="s">
        <v>141</v>
      </c>
    </row>
    <row r="86" spans="1:21" x14ac:dyDescent="0.3">
      <c r="A86" s="23">
        <v>59</v>
      </c>
      <c r="B86" s="23">
        <v>1</v>
      </c>
      <c r="C86" s="9" t="s">
        <v>142</v>
      </c>
      <c r="D86" s="9" t="s">
        <v>142</v>
      </c>
      <c r="E86" s="9"/>
      <c r="F86" s="9"/>
      <c r="G86" s="9" t="s">
        <v>142</v>
      </c>
      <c r="H86" s="9" t="s">
        <v>143</v>
      </c>
      <c r="I86" s="9" t="s">
        <v>142</v>
      </c>
      <c r="J86" s="9" t="s">
        <v>143</v>
      </c>
      <c r="K86" s="9" t="s">
        <v>143</v>
      </c>
      <c r="L86" s="9" t="s">
        <v>142</v>
      </c>
      <c r="M86" s="9" t="s">
        <v>142</v>
      </c>
      <c r="N86" s="9" t="s">
        <v>143</v>
      </c>
      <c r="O86" s="9" t="s">
        <v>143</v>
      </c>
      <c r="P86" s="9" t="s">
        <v>143</v>
      </c>
      <c r="Q86" s="9" t="s">
        <v>143</v>
      </c>
      <c r="R86" s="9" t="s">
        <v>142</v>
      </c>
      <c r="S86" s="9" t="s">
        <v>143</v>
      </c>
      <c r="T86" s="9" t="s">
        <v>142</v>
      </c>
      <c r="U86" s="9" t="s">
        <v>143</v>
      </c>
    </row>
    <row r="87" spans="1:21" x14ac:dyDescent="0.3">
      <c r="A87" s="23">
        <v>60</v>
      </c>
      <c r="B87" s="23">
        <v>1</v>
      </c>
      <c r="C87" s="9" t="s">
        <v>143</v>
      </c>
      <c r="D87" s="9" t="s">
        <v>142</v>
      </c>
      <c r="E87" s="9"/>
      <c r="F87" s="9"/>
      <c r="G87" s="9" t="s">
        <v>143</v>
      </c>
      <c r="H87" s="9" t="s">
        <v>142</v>
      </c>
      <c r="I87" s="9" t="s">
        <v>143</v>
      </c>
      <c r="J87" s="9" t="s">
        <v>142</v>
      </c>
      <c r="K87" s="9" t="s">
        <v>142</v>
      </c>
      <c r="L87" s="9" t="s">
        <v>143</v>
      </c>
      <c r="M87" s="9" t="s">
        <v>142</v>
      </c>
      <c r="N87" s="9" t="s">
        <v>142</v>
      </c>
      <c r="O87" s="9" t="s">
        <v>142</v>
      </c>
      <c r="P87" s="9" t="s">
        <v>142</v>
      </c>
      <c r="Q87" s="9" t="s">
        <v>142</v>
      </c>
      <c r="R87" s="9" t="s">
        <v>142</v>
      </c>
      <c r="S87" s="9" t="s">
        <v>143</v>
      </c>
      <c r="T87" s="9" t="s">
        <v>143</v>
      </c>
      <c r="U87" s="9" t="s">
        <v>143</v>
      </c>
    </row>
    <row r="88" spans="1:21" x14ac:dyDescent="0.3">
      <c r="A88" s="23">
        <v>61</v>
      </c>
      <c r="B88" s="23">
        <v>1</v>
      </c>
      <c r="C88" s="9" t="s">
        <v>143</v>
      </c>
      <c r="D88" s="9" t="s">
        <v>143</v>
      </c>
      <c r="E88" s="9"/>
      <c r="F88" s="9"/>
      <c r="G88" s="9" t="s">
        <v>143</v>
      </c>
      <c r="H88" s="9" t="s">
        <v>142</v>
      </c>
      <c r="I88" s="9" t="s">
        <v>143</v>
      </c>
      <c r="J88" s="9" t="s">
        <v>143</v>
      </c>
      <c r="K88" s="9" t="s">
        <v>143</v>
      </c>
      <c r="L88" s="9" t="s">
        <v>142</v>
      </c>
      <c r="M88" s="9" t="s">
        <v>142</v>
      </c>
      <c r="N88" s="9" t="s">
        <v>142</v>
      </c>
      <c r="O88" s="9" t="s">
        <v>142</v>
      </c>
      <c r="P88" s="9" t="s">
        <v>143</v>
      </c>
      <c r="Q88" s="9" t="s">
        <v>143</v>
      </c>
      <c r="R88" s="9" t="s">
        <v>143</v>
      </c>
      <c r="S88" s="9" t="s">
        <v>143</v>
      </c>
      <c r="T88" s="9" t="s">
        <v>143</v>
      </c>
      <c r="U88" s="9" t="s">
        <v>143</v>
      </c>
    </row>
    <row r="89" spans="1:21" x14ac:dyDescent="0.3">
      <c r="A89" s="23">
        <v>62</v>
      </c>
      <c r="B89" s="23">
        <v>1</v>
      </c>
      <c r="C89" s="9" t="s">
        <v>143</v>
      </c>
      <c r="D89" s="9" t="s">
        <v>142</v>
      </c>
      <c r="E89" s="9"/>
      <c r="F89" s="9"/>
      <c r="G89" s="9" t="s">
        <v>143</v>
      </c>
      <c r="H89" s="9" t="s">
        <v>143</v>
      </c>
      <c r="I89" s="9" t="s">
        <v>142</v>
      </c>
      <c r="J89" s="9" t="s">
        <v>143</v>
      </c>
      <c r="K89" s="9" t="s">
        <v>143</v>
      </c>
      <c r="L89" s="9" t="s">
        <v>143</v>
      </c>
      <c r="M89" s="9" t="s">
        <v>143</v>
      </c>
      <c r="N89" s="9" t="s">
        <v>143</v>
      </c>
      <c r="O89" s="9" t="s">
        <v>143</v>
      </c>
      <c r="P89" s="9" t="s">
        <v>142</v>
      </c>
      <c r="Q89" s="9" t="s">
        <v>143</v>
      </c>
      <c r="R89" s="9" t="s">
        <v>142</v>
      </c>
      <c r="S89" s="9" t="s">
        <v>142</v>
      </c>
      <c r="T89" s="9" t="s">
        <v>143</v>
      </c>
      <c r="U89" s="9" t="s">
        <v>142</v>
      </c>
    </row>
    <row r="90" spans="1:21" x14ac:dyDescent="0.3">
      <c r="A90" s="23">
        <v>63</v>
      </c>
      <c r="B90" s="23">
        <v>0</v>
      </c>
      <c r="C90" s="9" t="s">
        <v>141</v>
      </c>
      <c r="D90" s="9" t="s">
        <v>141</v>
      </c>
      <c r="E90" s="9"/>
      <c r="F90" s="9"/>
      <c r="G90" s="9" t="s">
        <v>141</v>
      </c>
      <c r="H90" s="9" t="s">
        <v>141</v>
      </c>
      <c r="I90" s="9" t="s">
        <v>141</v>
      </c>
      <c r="J90" s="9" t="s">
        <v>141</v>
      </c>
      <c r="K90" s="9" t="s">
        <v>141</v>
      </c>
      <c r="L90" s="9" t="s">
        <v>141</v>
      </c>
      <c r="M90" s="9" t="s">
        <v>141</v>
      </c>
      <c r="N90" s="9" t="s">
        <v>141</v>
      </c>
      <c r="O90" s="9" t="s">
        <v>141</v>
      </c>
      <c r="P90" s="9" t="s">
        <v>141</v>
      </c>
      <c r="Q90" s="9" t="s">
        <v>141</v>
      </c>
      <c r="R90" s="9" t="s">
        <v>141</v>
      </c>
      <c r="S90" s="9" t="s">
        <v>141</v>
      </c>
      <c r="T90" s="9" t="s">
        <v>141</v>
      </c>
      <c r="U90" s="9" t="s">
        <v>141</v>
      </c>
    </row>
    <row r="91" spans="1:21" x14ac:dyDescent="0.3">
      <c r="A91" s="23">
        <v>64</v>
      </c>
      <c r="B91" s="23">
        <v>0</v>
      </c>
      <c r="C91" s="9" t="s">
        <v>141</v>
      </c>
      <c r="D91" s="9" t="s">
        <v>141</v>
      </c>
      <c r="E91" s="9"/>
      <c r="F91" s="9"/>
      <c r="G91" s="9" t="s">
        <v>141</v>
      </c>
      <c r="H91" s="9" t="s">
        <v>141</v>
      </c>
      <c r="I91" s="9" t="s">
        <v>141</v>
      </c>
      <c r="J91" s="9" t="s">
        <v>141</v>
      </c>
      <c r="K91" s="9" t="s">
        <v>141</v>
      </c>
      <c r="L91" s="9" t="s">
        <v>141</v>
      </c>
      <c r="M91" s="9" t="s">
        <v>141</v>
      </c>
      <c r="N91" s="9" t="s">
        <v>141</v>
      </c>
      <c r="O91" s="9" t="s">
        <v>141</v>
      </c>
      <c r="P91" s="9" t="s">
        <v>141</v>
      </c>
      <c r="Q91" s="9" t="s">
        <v>141</v>
      </c>
      <c r="R91" s="9" t="s">
        <v>141</v>
      </c>
      <c r="S91" s="9" t="s">
        <v>141</v>
      </c>
      <c r="T91" s="9" t="s">
        <v>141</v>
      </c>
      <c r="U91" s="9" t="s">
        <v>141</v>
      </c>
    </row>
    <row r="92" spans="1:21" x14ac:dyDescent="0.3">
      <c r="A92" s="23">
        <v>65</v>
      </c>
      <c r="B92" s="23">
        <v>1</v>
      </c>
      <c r="C92" s="9" t="s">
        <v>142</v>
      </c>
      <c r="D92" s="9" t="s">
        <v>142</v>
      </c>
      <c r="E92" s="9"/>
      <c r="F92" s="9"/>
      <c r="G92" s="9" t="s">
        <v>143</v>
      </c>
      <c r="H92" s="9" t="s">
        <v>143</v>
      </c>
      <c r="I92" s="9" t="s">
        <v>143</v>
      </c>
      <c r="J92" s="9" t="s">
        <v>142</v>
      </c>
      <c r="K92" s="9" t="s">
        <v>143</v>
      </c>
      <c r="L92" s="9" t="s">
        <v>143</v>
      </c>
      <c r="M92" s="9" t="s">
        <v>143</v>
      </c>
      <c r="N92" s="9" t="s">
        <v>143</v>
      </c>
      <c r="O92" s="9" t="s">
        <v>143</v>
      </c>
      <c r="P92" s="9" t="s">
        <v>143</v>
      </c>
      <c r="Q92" s="9" t="s">
        <v>142</v>
      </c>
      <c r="R92" s="9" t="s">
        <v>143</v>
      </c>
      <c r="S92" s="9" t="s">
        <v>142</v>
      </c>
      <c r="T92" s="9" t="s">
        <v>142</v>
      </c>
      <c r="U92" s="9" t="s">
        <v>143</v>
      </c>
    </row>
    <row r="93" spans="1:21" x14ac:dyDescent="0.3">
      <c r="A93" s="23">
        <v>66</v>
      </c>
      <c r="B93" s="23">
        <v>1</v>
      </c>
      <c r="C93" s="9" t="s">
        <v>143</v>
      </c>
      <c r="D93" s="9" t="s">
        <v>143</v>
      </c>
      <c r="E93" s="9"/>
      <c r="F93" s="9"/>
      <c r="G93" s="9" t="s">
        <v>142</v>
      </c>
      <c r="H93" s="9" t="s">
        <v>143</v>
      </c>
      <c r="I93" s="9" t="s">
        <v>142</v>
      </c>
      <c r="J93" s="9" t="s">
        <v>142</v>
      </c>
      <c r="K93" s="9" t="s">
        <v>143</v>
      </c>
      <c r="L93" s="9" t="s">
        <v>143</v>
      </c>
      <c r="M93" s="9" t="s">
        <v>142</v>
      </c>
      <c r="N93" s="9" t="s">
        <v>142</v>
      </c>
      <c r="O93" s="9" t="s">
        <v>142</v>
      </c>
      <c r="P93" s="9" t="s">
        <v>143</v>
      </c>
      <c r="Q93" s="9" t="s">
        <v>142</v>
      </c>
      <c r="R93" s="9" t="s">
        <v>142</v>
      </c>
      <c r="S93" s="9" t="s">
        <v>143</v>
      </c>
      <c r="T93" s="9" t="s">
        <v>143</v>
      </c>
      <c r="U93" s="9" t="s">
        <v>142</v>
      </c>
    </row>
    <row r="94" spans="1:21" x14ac:dyDescent="0.3">
      <c r="A94" s="23">
        <v>67</v>
      </c>
      <c r="B94" s="23">
        <v>0</v>
      </c>
      <c r="C94" s="9" t="s">
        <v>141</v>
      </c>
      <c r="D94" s="9" t="s">
        <v>141</v>
      </c>
      <c r="E94" s="9"/>
      <c r="F94" s="9"/>
      <c r="G94" s="9" t="s">
        <v>141</v>
      </c>
      <c r="H94" s="9" t="s">
        <v>141</v>
      </c>
      <c r="I94" s="9" t="s">
        <v>141</v>
      </c>
      <c r="J94" s="9" t="s">
        <v>141</v>
      </c>
      <c r="K94" s="9" t="s">
        <v>141</v>
      </c>
      <c r="L94" s="9" t="s">
        <v>141</v>
      </c>
      <c r="M94" s="9" t="s">
        <v>141</v>
      </c>
      <c r="N94" s="9" t="s">
        <v>141</v>
      </c>
      <c r="O94" s="9" t="s">
        <v>141</v>
      </c>
      <c r="P94" s="9" t="s">
        <v>141</v>
      </c>
      <c r="Q94" s="9" t="s">
        <v>141</v>
      </c>
      <c r="R94" s="9" t="s">
        <v>141</v>
      </c>
      <c r="S94" s="9" t="s">
        <v>141</v>
      </c>
      <c r="T94" s="9" t="s">
        <v>141</v>
      </c>
      <c r="U94" s="9" t="s">
        <v>141</v>
      </c>
    </row>
    <row r="95" spans="1:21" x14ac:dyDescent="0.3">
      <c r="A95" s="23">
        <v>68</v>
      </c>
      <c r="B95" s="23">
        <v>1</v>
      </c>
      <c r="C95" s="9" t="s">
        <v>143</v>
      </c>
      <c r="D95" s="9" t="s">
        <v>143</v>
      </c>
      <c r="E95" s="9"/>
      <c r="F95" s="9"/>
      <c r="G95" s="9" t="s">
        <v>143</v>
      </c>
      <c r="H95" s="9" t="s">
        <v>143</v>
      </c>
      <c r="I95" s="9" t="s">
        <v>143</v>
      </c>
      <c r="J95" s="9" t="s">
        <v>142</v>
      </c>
      <c r="K95" s="9" t="s">
        <v>143</v>
      </c>
      <c r="L95" s="9" t="s">
        <v>143</v>
      </c>
      <c r="M95" s="9" t="s">
        <v>142</v>
      </c>
      <c r="N95" s="9" t="s">
        <v>143</v>
      </c>
      <c r="O95" s="9" t="s">
        <v>143</v>
      </c>
      <c r="P95" s="9" t="s">
        <v>143</v>
      </c>
      <c r="Q95" s="9" t="s">
        <v>142</v>
      </c>
      <c r="R95" s="9" t="s">
        <v>143</v>
      </c>
      <c r="S95" s="9" t="s">
        <v>142</v>
      </c>
      <c r="T95" s="9" t="s">
        <v>143</v>
      </c>
      <c r="U95" s="9" t="s">
        <v>142</v>
      </c>
    </row>
    <row r="96" spans="1:21" x14ac:dyDescent="0.3">
      <c r="A96" s="23">
        <v>69</v>
      </c>
      <c r="B96" s="23">
        <v>1</v>
      </c>
      <c r="C96" s="9" t="s">
        <v>143</v>
      </c>
      <c r="D96" s="9" t="s">
        <v>143</v>
      </c>
      <c r="E96" s="9"/>
      <c r="F96" s="9"/>
      <c r="G96" s="9" t="s">
        <v>142</v>
      </c>
      <c r="H96" s="9" t="s">
        <v>142</v>
      </c>
      <c r="I96" s="9" t="s">
        <v>143</v>
      </c>
      <c r="J96" s="9" t="s">
        <v>143</v>
      </c>
      <c r="K96" s="9" t="s">
        <v>143</v>
      </c>
      <c r="L96" s="9" t="s">
        <v>143</v>
      </c>
      <c r="M96" s="9" t="s">
        <v>142</v>
      </c>
      <c r="N96" s="9" t="s">
        <v>142</v>
      </c>
      <c r="O96" s="9" t="s">
        <v>143</v>
      </c>
      <c r="P96" s="9" t="s">
        <v>142</v>
      </c>
      <c r="Q96" s="9" t="s">
        <v>142</v>
      </c>
      <c r="R96" s="9" t="s">
        <v>142</v>
      </c>
      <c r="S96" s="9" t="s">
        <v>142</v>
      </c>
      <c r="T96" s="9" t="s">
        <v>143</v>
      </c>
      <c r="U96" s="9" t="s">
        <v>142</v>
      </c>
    </row>
    <row r="97" spans="1:21" x14ac:dyDescent="0.3">
      <c r="A97" s="23">
        <v>70</v>
      </c>
      <c r="B97" s="23">
        <v>1</v>
      </c>
      <c r="C97" s="9" t="s">
        <v>143</v>
      </c>
      <c r="D97" s="9" t="s">
        <v>142</v>
      </c>
      <c r="E97" s="9"/>
      <c r="F97" s="9"/>
      <c r="G97" s="9" t="s">
        <v>142</v>
      </c>
      <c r="H97" s="9" t="s">
        <v>143</v>
      </c>
      <c r="I97" s="9" t="s">
        <v>143</v>
      </c>
      <c r="J97" s="9" t="s">
        <v>142</v>
      </c>
      <c r="K97" s="9" t="s">
        <v>143</v>
      </c>
      <c r="L97" s="9" t="s">
        <v>142</v>
      </c>
      <c r="M97" s="9" t="s">
        <v>143</v>
      </c>
      <c r="N97" s="9" t="s">
        <v>143</v>
      </c>
      <c r="O97" s="9" t="s">
        <v>143</v>
      </c>
      <c r="P97" s="9" t="s">
        <v>142</v>
      </c>
      <c r="Q97" s="9" t="s">
        <v>142</v>
      </c>
      <c r="R97" s="9" t="s">
        <v>143</v>
      </c>
      <c r="S97" s="9" t="s">
        <v>142</v>
      </c>
      <c r="T97" s="9" t="s">
        <v>143</v>
      </c>
      <c r="U97" s="9" t="s">
        <v>142</v>
      </c>
    </row>
    <row r="98" spans="1:21" x14ac:dyDescent="0.3">
      <c r="A98" s="23">
        <v>71</v>
      </c>
      <c r="B98" s="23">
        <v>0</v>
      </c>
      <c r="C98" s="9" t="s">
        <v>141</v>
      </c>
      <c r="D98" s="9" t="s">
        <v>141</v>
      </c>
      <c r="E98" s="9"/>
      <c r="F98" s="9"/>
      <c r="G98" s="9" t="s">
        <v>141</v>
      </c>
      <c r="H98" s="9" t="s">
        <v>141</v>
      </c>
      <c r="I98" s="9" t="s">
        <v>141</v>
      </c>
      <c r="J98" s="9" t="s">
        <v>141</v>
      </c>
      <c r="K98" s="9" t="s">
        <v>141</v>
      </c>
      <c r="L98" s="9" t="s">
        <v>141</v>
      </c>
      <c r="M98" s="9" t="s">
        <v>141</v>
      </c>
      <c r="N98" s="9" t="s">
        <v>141</v>
      </c>
      <c r="O98" s="9" t="s">
        <v>141</v>
      </c>
      <c r="P98" s="9" t="s">
        <v>141</v>
      </c>
      <c r="Q98" s="9" t="s">
        <v>141</v>
      </c>
      <c r="R98" s="9" t="s">
        <v>141</v>
      </c>
      <c r="S98" s="9" t="s">
        <v>141</v>
      </c>
      <c r="T98" s="9" t="s">
        <v>141</v>
      </c>
      <c r="U98" s="9" t="s">
        <v>141</v>
      </c>
    </row>
    <row r="99" spans="1:21" x14ac:dyDescent="0.3">
      <c r="A99" s="23">
        <v>72</v>
      </c>
      <c r="B99" s="23">
        <v>1</v>
      </c>
      <c r="C99" s="9" t="s">
        <v>143</v>
      </c>
      <c r="D99" s="9" t="s">
        <v>142</v>
      </c>
      <c r="E99" s="9"/>
      <c r="F99" s="9"/>
      <c r="G99" s="9" t="s">
        <v>143</v>
      </c>
      <c r="H99" s="9" t="s">
        <v>143</v>
      </c>
      <c r="I99" s="9" t="s">
        <v>143</v>
      </c>
      <c r="J99" s="9" t="s">
        <v>143</v>
      </c>
      <c r="K99" s="9" t="s">
        <v>142</v>
      </c>
      <c r="L99" s="9" t="s">
        <v>143</v>
      </c>
      <c r="M99" s="9" t="s">
        <v>142</v>
      </c>
      <c r="N99" s="9" t="s">
        <v>143</v>
      </c>
      <c r="O99" s="9" t="s">
        <v>142</v>
      </c>
      <c r="P99" s="9" t="s">
        <v>142</v>
      </c>
      <c r="Q99" s="9" t="s">
        <v>142</v>
      </c>
      <c r="R99" s="9" t="s">
        <v>143</v>
      </c>
      <c r="S99" s="9" t="s">
        <v>143</v>
      </c>
      <c r="T99" s="9" t="s">
        <v>142</v>
      </c>
      <c r="U99" s="9" t="s">
        <v>143</v>
      </c>
    </row>
    <row r="100" spans="1:21" x14ac:dyDescent="0.3">
      <c r="A100" s="23">
        <v>73</v>
      </c>
      <c r="B100" s="23">
        <v>1</v>
      </c>
      <c r="C100" s="9" t="s">
        <v>142</v>
      </c>
      <c r="D100" s="9" t="s">
        <v>142</v>
      </c>
      <c r="E100" s="9"/>
      <c r="F100" s="9"/>
      <c r="G100" s="9" t="s">
        <v>142</v>
      </c>
      <c r="H100" s="9" t="s">
        <v>143</v>
      </c>
      <c r="I100" s="9" t="s">
        <v>142</v>
      </c>
      <c r="J100" s="9" t="s">
        <v>143</v>
      </c>
      <c r="K100" s="9" t="s">
        <v>143</v>
      </c>
      <c r="L100" s="9" t="s">
        <v>143</v>
      </c>
      <c r="M100" s="9" t="s">
        <v>142</v>
      </c>
      <c r="N100" s="9" t="s">
        <v>143</v>
      </c>
      <c r="O100" s="9" t="s">
        <v>142</v>
      </c>
      <c r="P100" s="9" t="s">
        <v>143</v>
      </c>
      <c r="Q100" s="9" t="s">
        <v>143</v>
      </c>
      <c r="R100" s="9" t="s">
        <v>143</v>
      </c>
      <c r="S100" s="9" t="s">
        <v>143</v>
      </c>
      <c r="T100" s="9" t="s">
        <v>143</v>
      </c>
      <c r="U100" s="9" t="s">
        <v>143</v>
      </c>
    </row>
    <row r="101" spans="1:21" x14ac:dyDescent="0.3">
      <c r="A101" s="23">
        <v>74</v>
      </c>
      <c r="B101" s="23">
        <v>0</v>
      </c>
      <c r="C101" s="9" t="s">
        <v>141</v>
      </c>
      <c r="D101" s="9" t="s">
        <v>141</v>
      </c>
      <c r="E101" s="9"/>
      <c r="F101" s="9"/>
      <c r="G101" s="9" t="s">
        <v>141</v>
      </c>
      <c r="H101" s="9" t="s">
        <v>141</v>
      </c>
      <c r="I101" s="9" t="s">
        <v>141</v>
      </c>
      <c r="J101" s="9" t="s">
        <v>141</v>
      </c>
      <c r="K101" s="9" t="s">
        <v>141</v>
      </c>
      <c r="L101" s="9" t="s">
        <v>141</v>
      </c>
      <c r="M101" s="9" t="s">
        <v>141</v>
      </c>
      <c r="N101" s="9" t="s">
        <v>141</v>
      </c>
      <c r="O101" s="9" t="s">
        <v>141</v>
      </c>
      <c r="P101" s="9" t="s">
        <v>141</v>
      </c>
      <c r="Q101" s="9" t="s">
        <v>141</v>
      </c>
      <c r="R101" s="9" t="s">
        <v>141</v>
      </c>
      <c r="S101" s="9" t="s">
        <v>141</v>
      </c>
      <c r="T101" s="9" t="s">
        <v>141</v>
      </c>
      <c r="U101" s="9" t="s">
        <v>141</v>
      </c>
    </row>
    <row r="102" spans="1:21" x14ac:dyDescent="0.3">
      <c r="A102" s="23">
        <v>75</v>
      </c>
      <c r="B102" s="23">
        <v>0</v>
      </c>
      <c r="C102" s="9" t="s">
        <v>141</v>
      </c>
      <c r="D102" s="9" t="s">
        <v>141</v>
      </c>
      <c r="E102" s="9"/>
      <c r="F102" s="9"/>
      <c r="G102" s="9" t="s">
        <v>141</v>
      </c>
      <c r="H102" s="9" t="s">
        <v>141</v>
      </c>
      <c r="I102" s="9" t="s">
        <v>141</v>
      </c>
      <c r="J102" s="9" t="s">
        <v>141</v>
      </c>
      <c r="K102" s="9" t="s">
        <v>141</v>
      </c>
      <c r="L102" s="9" t="s">
        <v>141</v>
      </c>
      <c r="M102" s="9" t="s">
        <v>141</v>
      </c>
      <c r="N102" s="9" t="s">
        <v>141</v>
      </c>
      <c r="O102" s="9" t="s">
        <v>141</v>
      </c>
      <c r="P102" s="9" t="s">
        <v>141</v>
      </c>
      <c r="Q102" s="9" t="s">
        <v>141</v>
      </c>
      <c r="R102" s="9" t="s">
        <v>141</v>
      </c>
      <c r="S102" s="9" t="s">
        <v>141</v>
      </c>
      <c r="T102" s="9" t="s">
        <v>141</v>
      </c>
      <c r="U102" s="9" t="s">
        <v>141</v>
      </c>
    </row>
    <row r="103" spans="1:21" x14ac:dyDescent="0.3">
      <c r="A103" s="23">
        <v>76</v>
      </c>
      <c r="B103" s="23">
        <v>0</v>
      </c>
      <c r="C103" s="9" t="s">
        <v>141</v>
      </c>
      <c r="D103" s="9" t="s">
        <v>141</v>
      </c>
      <c r="E103" s="9"/>
      <c r="F103" s="9"/>
      <c r="G103" s="9" t="s">
        <v>141</v>
      </c>
      <c r="H103" s="9" t="s">
        <v>141</v>
      </c>
      <c r="I103" s="9" t="s">
        <v>141</v>
      </c>
      <c r="J103" s="9" t="s">
        <v>141</v>
      </c>
      <c r="K103" s="9" t="s">
        <v>141</v>
      </c>
      <c r="L103" s="9" t="s">
        <v>141</v>
      </c>
      <c r="M103" s="9" t="s">
        <v>141</v>
      </c>
      <c r="N103" s="9" t="s">
        <v>141</v>
      </c>
      <c r="O103" s="9" t="s">
        <v>141</v>
      </c>
      <c r="P103" s="9" t="s">
        <v>141</v>
      </c>
      <c r="Q103" s="9" t="s">
        <v>141</v>
      </c>
      <c r="R103" s="9" t="s">
        <v>141</v>
      </c>
      <c r="S103" s="9" t="s">
        <v>141</v>
      </c>
      <c r="T103" s="9" t="s">
        <v>141</v>
      </c>
      <c r="U103" s="9" t="s">
        <v>141</v>
      </c>
    </row>
    <row r="104" spans="1:21" x14ac:dyDescent="0.3">
      <c r="A104" s="23">
        <v>77</v>
      </c>
      <c r="B104" s="23">
        <v>1</v>
      </c>
      <c r="C104" s="9" t="s">
        <v>142</v>
      </c>
      <c r="D104" s="9" t="s">
        <v>142</v>
      </c>
      <c r="E104" s="9"/>
      <c r="F104" s="9"/>
      <c r="G104" s="9" t="s">
        <v>142</v>
      </c>
      <c r="H104" s="9" t="s">
        <v>142</v>
      </c>
      <c r="I104" s="9" t="s">
        <v>143</v>
      </c>
      <c r="J104" s="9" t="s">
        <v>142</v>
      </c>
      <c r="K104" s="9" t="s">
        <v>143</v>
      </c>
      <c r="L104" s="9" t="s">
        <v>143</v>
      </c>
      <c r="M104" s="9" t="s">
        <v>143</v>
      </c>
      <c r="N104" s="9" t="s">
        <v>143</v>
      </c>
      <c r="O104" s="9" t="s">
        <v>142</v>
      </c>
      <c r="P104" s="9" t="s">
        <v>143</v>
      </c>
      <c r="Q104" s="9" t="s">
        <v>143</v>
      </c>
      <c r="R104" s="9" t="s">
        <v>143</v>
      </c>
      <c r="S104" s="9" t="s">
        <v>142</v>
      </c>
      <c r="T104" s="9" t="s">
        <v>143</v>
      </c>
      <c r="U104" s="9" t="s">
        <v>142</v>
      </c>
    </row>
    <row r="105" spans="1:21" x14ac:dyDescent="0.3">
      <c r="A105" s="23">
        <v>78</v>
      </c>
      <c r="B105" s="23">
        <v>0</v>
      </c>
      <c r="C105" s="9" t="s">
        <v>141</v>
      </c>
      <c r="D105" s="9" t="s">
        <v>141</v>
      </c>
      <c r="E105" s="9"/>
      <c r="F105" s="9"/>
      <c r="G105" s="9" t="s">
        <v>141</v>
      </c>
      <c r="H105" s="9" t="s">
        <v>141</v>
      </c>
      <c r="I105" s="9" t="s">
        <v>141</v>
      </c>
      <c r="J105" s="9" t="s">
        <v>141</v>
      </c>
      <c r="K105" s="9" t="s">
        <v>141</v>
      </c>
      <c r="L105" s="9" t="s">
        <v>141</v>
      </c>
      <c r="M105" s="9" t="s">
        <v>141</v>
      </c>
      <c r="N105" s="9" t="s">
        <v>141</v>
      </c>
      <c r="O105" s="9" t="s">
        <v>141</v>
      </c>
      <c r="P105" s="9" t="s">
        <v>141</v>
      </c>
      <c r="Q105" s="9" t="s">
        <v>141</v>
      </c>
      <c r="R105" s="9" t="s">
        <v>141</v>
      </c>
      <c r="S105" s="9" t="s">
        <v>141</v>
      </c>
      <c r="T105" s="9" t="s">
        <v>141</v>
      </c>
      <c r="U105" s="9" t="s">
        <v>141</v>
      </c>
    </row>
    <row r="106" spans="1:21" x14ac:dyDescent="0.3">
      <c r="A106" s="23">
        <v>79</v>
      </c>
      <c r="B106" s="23">
        <v>0</v>
      </c>
      <c r="C106" s="9" t="s">
        <v>141</v>
      </c>
      <c r="D106" s="9" t="s">
        <v>141</v>
      </c>
      <c r="E106" s="9"/>
      <c r="F106" s="9"/>
      <c r="G106" s="9" t="s">
        <v>141</v>
      </c>
      <c r="H106" s="9" t="s">
        <v>141</v>
      </c>
      <c r="I106" s="9" t="s">
        <v>141</v>
      </c>
      <c r="J106" s="9" t="s">
        <v>141</v>
      </c>
      <c r="K106" s="9" t="s">
        <v>141</v>
      </c>
      <c r="L106" s="9" t="s">
        <v>141</v>
      </c>
      <c r="M106" s="9" t="s">
        <v>141</v>
      </c>
      <c r="N106" s="9" t="s">
        <v>141</v>
      </c>
      <c r="O106" s="9" t="s">
        <v>141</v>
      </c>
      <c r="P106" s="9" t="s">
        <v>141</v>
      </c>
      <c r="Q106" s="9" t="s">
        <v>141</v>
      </c>
      <c r="R106" s="9" t="s">
        <v>141</v>
      </c>
      <c r="S106" s="9" t="s">
        <v>141</v>
      </c>
      <c r="T106" s="9" t="s">
        <v>141</v>
      </c>
      <c r="U106" s="9" t="s">
        <v>141</v>
      </c>
    </row>
    <row r="107" spans="1:21" x14ac:dyDescent="0.3">
      <c r="A107" s="23">
        <v>80</v>
      </c>
      <c r="B107" s="23">
        <v>1</v>
      </c>
      <c r="C107" s="9" t="s">
        <v>142</v>
      </c>
      <c r="D107" s="9" t="s">
        <v>143</v>
      </c>
      <c r="E107" s="9"/>
      <c r="F107" s="9"/>
      <c r="G107" s="9" t="s">
        <v>143</v>
      </c>
      <c r="H107" s="9" t="s">
        <v>143</v>
      </c>
      <c r="I107" s="9" t="s">
        <v>142</v>
      </c>
      <c r="J107" s="9" t="s">
        <v>143</v>
      </c>
      <c r="K107" s="9" t="s">
        <v>142</v>
      </c>
      <c r="L107" s="9" t="s">
        <v>142</v>
      </c>
      <c r="M107" s="9" t="s">
        <v>143</v>
      </c>
      <c r="N107" s="9" t="s">
        <v>143</v>
      </c>
      <c r="O107" s="9" t="s">
        <v>143</v>
      </c>
      <c r="P107" s="9" t="s">
        <v>142</v>
      </c>
      <c r="Q107" s="9" t="s">
        <v>143</v>
      </c>
      <c r="R107" s="9" t="s">
        <v>143</v>
      </c>
      <c r="S107" s="9" t="s">
        <v>143</v>
      </c>
      <c r="T107" s="9" t="s">
        <v>143</v>
      </c>
      <c r="U107" s="9" t="s">
        <v>142</v>
      </c>
    </row>
    <row r="108" spans="1:21" x14ac:dyDescent="0.3">
      <c r="A108" s="23">
        <v>81</v>
      </c>
      <c r="B108" s="23">
        <v>0</v>
      </c>
      <c r="C108" s="9" t="s">
        <v>141</v>
      </c>
      <c r="D108" s="9" t="s">
        <v>141</v>
      </c>
      <c r="E108" s="9"/>
      <c r="F108" s="9"/>
      <c r="G108" s="9" t="s">
        <v>141</v>
      </c>
      <c r="H108" s="9" t="s">
        <v>141</v>
      </c>
      <c r="I108" s="9" t="s">
        <v>141</v>
      </c>
      <c r="J108" s="9" t="s">
        <v>141</v>
      </c>
      <c r="K108" s="9" t="s">
        <v>141</v>
      </c>
      <c r="L108" s="9" t="s">
        <v>141</v>
      </c>
      <c r="M108" s="9" t="s">
        <v>141</v>
      </c>
      <c r="N108" s="9" t="s">
        <v>141</v>
      </c>
      <c r="O108" s="9" t="s">
        <v>141</v>
      </c>
      <c r="P108" s="9" t="s">
        <v>141</v>
      </c>
      <c r="Q108" s="9" t="s">
        <v>141</v>
      </c>
      <c r="R108" s="9" t="s">
        <v>141</v>
      </c>
      <c r="S108" s="9" t="s">
        <v>141</v>
      </c>
      <c r="T108" s="9" t="s">
        <v>141</v>
      </c>
      <c r="U108" s="9" t="s">
        <v>141</v>
      </c>
    </row>
    <row r="109" spans="1:21" x14ac:dyDescent="0.3">
      <c r="A109" s="23">
        <v>82</v>
      </c>
      <c r="B109" s="23">
        <v>0</v>
      </c>
      <c r="C109" s="9" t="s">
        <v>141</v>
      </c>
      <c r="D109" s="9" t="s">
        <v>141</v>
      </c>
      <c r="E109" s="9"/>
      <c r="F109" s="9"/>
      <c r="G109" s="9" t="s">
        <v>141</v>
      </c>
      <c r="H109" s="9" t="s">
        <v>141</v>
      </c>
      <c r="I109" s="9" t="s">
        <v>141</v>
      </c>
      <c r="J109" s="9" t="s">
        <v>141</v>
      </c>
      <c r="K109" s="9" t="s">
        <v>141</v>
      </c>
      <c r="L109" s="9" t="s">
        <v>141</v>
      </c>
      <c r="M109" s="9" t="s">
        <v>141</v>
      </c>
      <c r="N109" s="9" t="s">
        <v>141</v>
      </c>
      <c r="O109" s="9" t="s">
        <v>141</v>
      </c>
      <c r="P109" s="9" t="s">
        <v>141</v>
      </c>
      <c r="Q109" s="9" t="s">
        <v>141</v>
      </c>
      <c r="R109" s="9" t="s">
        <v>141</v>
      </c>
      <c r="S109" s="9" t="s">
        <v>141</v>
      </c>
      <c r="T109" s="9" t="s">
        <v>141</v>
      </c>
      <c r="U109" s="9" t="s">
        <v>141</v>
      </c>
    </row>
    <row r="110" spans="1:21" x14ac:dyDescent="0.3">
      <c r="A110" s="23">
        <v>83</v>
      </c>
      <c r="B110" s="23">
        <v>1</v>
      </c>
      <c r="C110" s="9" t="s">
        <v>142</v>
      </c>
      <c r="D110" s="9" t="s">
        <v>143</v>
      </c>
      <c r="E110" s="9"/>
      <c r="F110" s="9"/>
      <c r="G110" s="9" t="s">
        <v>142</v>
      </c>
      <c r="H110" s="9" t="s">
        <v>142</v>
      </c>
      <c r="I110" s="9" t="s">
        <v>142</v>
      </c>
      <c r="J110" s="9" t="s">
        <v>143</v>
      </c>
      <c r="K110" s="9" t="s">
        <v>143</v>
      </c>
      <c r="L110" s="9" t="s">
        <v>143</v>
      </c>
      <c r="M110" s="9" t="s">
        <v>143</v>
      </c>
      <c r="N110" s="9" t="s">
        <v>143</v>
      </c>
      <c r="O110" s="9" t="s">
        <v>143</v>
      </c>
      <c r="P110" s="9" t="s">
        <v>142</v>
      </c>
      <c r="Q110" s="9" t="s">
        <v>142</v>
      </c>
      <c r="R110" s="9" t="s">
        <v>142</v>
      </c>
      <c r="S110" s="9" t="s">
        <v>142</v>
      </c>
      <c r="T110" s="9" t="s">
        <v>142</v>
      </c>
      <c r="U110" s="9" t="s">
        <v>143</v>
      </c>
    </row>
    <row r="111" spans="1:21" x14ac:dyDescent="0.3">
      <c r="A111" s="23">
        <v>84</v>
      </c>
      <c r="B111" s="23">
        <v>1</v>
      </c>
      <c r="C111" s="9" t="s">
        <v>142</v>
      </c>
      <c r="D111" s="9" t="s">
        <v>143</v>
      </c>
      <c r="E111" s="9"/>
      <c r="F111" s="9"/>
      <c r="G111" s="9" t="s">
        <v>142</v>
      </c>
      <c r="H111" s="9" t="s">
        <v>143</v>
      </c>
      <c r="I111" s="9" t="s">
        <v>142</v>
      </c>
      <c r="J111" s="9" t="s">
        <v>142</v>
      </c>
      <c r="K111" s="9" t="s">
        <v>143</v>
      </c>
      <c r="L111" s="9" t="s">
        <v>143</v>
      </c>
      <c r="M111" s="9" t="s">
        <v>143</v>
      </c>
      <c r="N111" s="9" t="s">
        <v>143</v>
      </c>
      <c r="O111" s="9" t="s">
        <v>143</v>
      </c>
      <c r="P111" s="9" t="s">
        <v>143</v>
      </c>
      <c r="Q111" s="9" t="s">
        <v>143</v>
      </c>
      <c r="R111" s="9" t="s">
        <v>143</v>
      </c>
      <c r="S111" s="9" t="s">
        <v>143</v>
      </c>
      <c r="T111" s="9" t="s">
        <v>143</v>
      </c>
      <c r="U111" s="9" t="s">
        <v>143</v>
      </c>
    </row>
    <row r="112" spans="1:21" x14ac:dyDescent="0.3">
      <c r="A112" s="23">
        <v>85</v>
      </c>
      <c r="B112" s="23">
        <v>1</v>
      </c>
      <c r="C112" s="9" t="s">
        <v>143</v>
      </c>
      <c r="D112" s="9" t="s">
        <v>143</v>
      </c>
      <c r="E112" s="9"/>
      <c r="F112" s="9"/>
      <c r="G112" s="9" t="s">
        <v>143</v>
      </c>
      <c r="H112" s="9" t="s">
        <v>143</v>
      </c>
      <c r="I112" s="9" t="s">
        <v>143</v>
      </c>
      <c r="J112" s="9" t="s">
        <v>142</v>
      </c>
      <c r="K112" s="9" t="s">
        <v>143</v>
      </c>
      <c r="L112" s="9" t="s">
        <v>143</v>
      </c>
      <c r="M112" s="9" t="s">
        <v>143</v>
      </c>
      <c r="N112" s="9" t="s">
        <v>142</v>
      </c>
      <c r="O112" s="9" t="s">
        <v>143</v>
      </c>
      <c r="P112" s="9" t="s">
        <v>142</v>
      </c>
      <c r="Q112" s="9" t="s">
        <v>143</v>
      </c>
      <c r="R112" s="9" t="s">
        <v>142</v>
      </c>
      <c r="S112" s="9" t="s">
        <v>142</v>
      </c>
      <c r="T112" s="9" t="s">
        <v>142</v>
      </c>
      <c r="U112" s="9" t="s">
        <v>142</v>
      </c>
    </row>
    <row r="113" spans="1:21" x14ac:dyDescent="0.3">
      <c r="A113" s="23">
        <v>86</v>
      </c>
      <c r="B113" s="23">
        <v>1</v>
      </c>
      <c r="C113" s="9" t="s">
        <v>142</v>
      </c>
      <c r="D113" s="9" t="s">
        <v>142</v>
      </c>
      <c r="E113" s="9"/>
      <c r="F113" s="9"/>
      <c r="G113" s="9" t="s">
        <v>142</v>
      </c>
      <c r="H113" s="9" t="s">
        <v>143</v>
      </c>
      <c r="I113" s="9" t="s">
        <v>142</v>
      </c>
      <c r="J113" s="9" t="s">
        <v>143</v>
      </c>
      <c r="K113" s="9" t="s">
        <v>142</v>
      </c>
      <c r="L113" s="9" t="s">
        <v>142</v>
      </c>
      <c r="M113" s="9" t="s">
        <v>143</v>
      </c>
      <c r="N113" s="9" t="s">
        <v>142</v>
      </c>
      <c r="O113" s="9" t="s">
        <v>142</v>
      </c>
      <c r="P113" s="9" t="s">
        <v>142</v>
      </c>
      <c r="Q113" s="9" t="s">
        <v>143</v>
      </c>
      <c r="R113" s="9" t="s">
        <v>142</v>
      </c>
      <c r="S113" s="9" t="s">
        <v>143</v>
      </c>
      <c r="T113" s="9" t="s">
        <v>142</v>
      </c>
      <c r="U113" s="9" t="s">
        <v>143</v>
      </c>
    </row>
    <row r="114" spans="1:21" x14ac:dyDescent="0.3">
      <c r="A114" s="23">
        <v>87</v>
      </c>
      <c r="B114" s="23">
        <v>0</v>
      </c>
      <c r="C114" s="9" t="s">
        <v>141</v>
      </c>
      <c r="D114" s="9" t="s">
        <v>141</v>
      </c>
      <c r="E114" s="9"/>
      <c r="F114" s="9"/>
      <c r="G114" s="9" t="s">
        <v>141</v>
      </c>
      <c r="H114" s="9" t="s">
        <v>141</v>
      </c>
      <c r="I114" s="9" t="s">
        <v>141</v>
      </c>
      <c r="J114" s="9" t="s">
        <v>141</v>
      </c>
      <c r="K114" s="9" t="s">
        <v>141</v>
      </c>
      <c r="L114" s="9" t="s">
        <v>141</v>
      </c>
      <c r="M114" s="9" t="s">
        <v>141</v>
      </c>
      <c r="N114" s="9" t="s">
        <v>141</v>
      </c>
      <c r="O114" s="9" t="s">
        <v>141</v>
      </c>
      <c r="P114" s="9" t="s">
        <v>141</v>
      </c>
      <c r="Q114" s="9" t="s">
        <v>141</v>
      </c>
      <c r="R114" s="9" t="s">
        <v>141</v>
      </c>
      <c r="S114" s="9" t="s">
        <v>141</v>
      </c>
      <c r="T114" s="9" t="s">
        <v>141</v>
      </c>
      <c r="U114" s="9" t="s">
        <v>141</v>
      </c>
    </row>
    <row r="115" spans="1:21" x14ac:dyDescent="0.3">
      <c r="A115" s="23">
        <v>88</v>
      </c>
      <c r="B115" s="23">
        <v>1</v>
      </c>
      <c r="C115" s="9" t="s">
        <v>143</v>
      </c>
      <c r="D115" s="9" t="s">
        <v>143</v>
      </c>
      <c r="E115" s="9"/>
      <c r="F115" s="9"/>
      <c r="G115" s="9" t="s">
        <v>142</v>
      </c>
      <c r="H115" s="9" t="s">
        <v>143</v>
      </c>
      <c r="I115" s="9" t="s">
        <v>142</v>
      </c>
      <c r="J115" s="9" t="s">
        <v>143</v>
      </c>
      <c r="K115" s="9" t="s">
        <v>143</v>
      </c>
      <c r="L115" s="9" t="s">
        <v>143</v>
      </c>
      <c r="M115" s="9" t="s">
        <v>143</v>
      </c>
      <c r="N115" s="9" t="s">
        <v>143</v>
      </c>
      <c r="O115" s="9" t="s">
        <v>142</v>
      </c>
      <c r="P115" s="9" t="s">
        <v>143</v>
      </c>
      <c r="Q115" s="9" t="s">
        <v>143</v>
      </c>
      <c r="R115" s="9" t="s">
        <v>143</v>
      </c>
      <c r="S115" s="9" t="s">
        <v>143</v>
      </c>
      <c r="T115" s="9" t="s">
        <v>142</v>
      </c>
      <c r="U115" s="9" t="s">
        <v>142</v>
      </c>
    </row>
    <row r="116" spans="1:21" x14ac:dyDescent="0.3">
      <c r="A116" s="23">
        <v>89</v>
      </c>
      <c r="B116" s="23">
        <v>0</v>
      </c>
      <c r="C116" s="9" t="s">
        <v>141</v>
      </c>
      <c r="D116" s="9" t="s">
        <v>141</v>
      </c>
      <c r="E116" s="9"/>
      <c r="F116" s="9"/>
      <c r="G116" s="9" t="s">
        <v>141</v>
      </c>
      <c r="H116" s="9" t="s">
        <v>141</v>
      </c>
      <c r="I116" s="9" t="s">
        <v>141</v>
      </c>
      <c r="J116" s="9" t="s">
        <v>141</v>
      </c>
      <c r="K116" s="9" t="s">
        <v>141</v>
      </c>
      <c r="L116" s="9" t="s">
        <v>141</v>
      </c>
      <c r="M116" s="9" t="s">
        <v>141</v>
      </c>
      <c r="N116" s="9" t="s">
        <v>141</v>
      </c>
      <c r="O116" s="9" t="s">
        <v>141</v>
      </c>
      <c r="P116" s="9" t="s">
        <v>141</v>
      </c>
      <c r="Q116" s="9" t="s">
        <v>141</v>
      </c>
      <c r="R116" s="9" t="s">
        <v>141</v>
      </c>
      <c r="S116" s="9" t="s">
        <v>141</v>
      </c>
      <c r="T116" s="9" t="s">
        <v>141</v>
      </c>
      <c r="U116" s="9" t="s">
        <v>141</v>
      </c>
    </row>
    <row r="117" spans="1:21" x14ac:dyDescent="0.3">
      <c r="A117" s="23">
        <v>90</v>
      </c>
      <c r="B117" s="23">
        <v>0</v>
      </c>
      <c r="C117" s="9" t="s">
        <v>141</v>
      </c>
      <c r="D117" s="9" t="s">
        <v>141</v>
      </c>
      <c r="E117" s="9"/>
      <c r="F117" s="9"/>
      <c r="G117" s="9" t="s">
        <v>141</v>
      </c>
      <c r="H117" s="9" t="s">
        <v>141</v>
      </c>
      <c r="I117" s="9" t="s">
        <v>141</v>
      </c>
      <c r="J117" s="9" t="s">
        <v>141</v>
      </c>
      <c r="K117" s="9" t="s">
        <v>141</v>
      </c>
      <c r="L117" s="9" t="s">
        <v>141</v>
      </c>
      <c r="M117" s="9" t="s">
        <v>141</v>
      </c>
      <c r="N117" s="9" t="s">
        <v>141</v>
      </c>
      <c r="O117" s="9" t="s">
        <v>141</v>
      </c>
      <c r="P117" s="9" t="s">
        <v>141</v>
      </c>
      <c r="Q117" s="9" t="s">
        <v>141</v>
      </c>
      <c r="R117" s="9" t="s">
        <v>141</v>
      </c>
      <c r="S117" s="9" t="s">
        <v>141</v>
      </c>
      <c r="T117" s="9" t="s">
        <v>141</v>
      </c>
      <c r="U117" s="9" t="s">
        <v>141</v>
      </c>
    </row>
    <row r="118" spans="1:21" x14ac:dyDescent="0.3">
      <c r="A118" s="23">
        <v>91</v>
      </c>
      <c r="B118" s="23">
        <v>0</v>
      </c>
      <c r="C118" s="9" t="s">
        <v>141</v>
      </c>
      <c r="D118" s="9" t="s">
        <v>141</v>
      </c>
      <c r="E118" s="9"/>
      <c r="F118" s="9"/>
      <c r="G118" s="9" t="s">
        <v>141</v>
      </c>
      <c r="H118" s="9" t="s">
        <v>141</v>
      </c>
      <c r="I118" s="9" t="s">
        <v>141</v>
      </c>
      <c r="J118" s="9" t="s">
        <v>141</v>
      </c>
      <c r="K118" s="9" t="s">
        <v>141</v>
      </c>
      <c r="L118" s="9" t="s">
        <v>141</v>
      </c>
      <c r="M118" s="9" t="s">
        <v>141</v>
      </c>
      <c r="N118" s="9" t="s">
        <v>141</v>
      </c>
      <c r="O118" s="9" t="s">
        <v>141</v>
      </c>
      <c r="P118" s="9" t="s">
        <v>141</v>
      </c>
      <c r="Q118" s="9" t="s">
        <v>141</v>
      </c>
      <c r="R118" s="9" t="s">
        <v>141</v>
      </c>
      <c r="S118" s="9" t="s">
        <v>141</v>
      </c>
      <c r="T118" s="9" t="s">
        <v>141</v>
      </c>
      <c r="U118" s="9" t="s">
        <v>141</v>
      </c>
    </row>
    <row r="119" spans="1:21" x14ac:dyDescent="0.3">
      <c r="A119" s="23">
        <v>92</v>
      </c>
      <c r="B119" s="23">
        <v>0</v>
      </c>
      <c r="C119" s="9" t="s">
        <v>141</v>
      </c>
      <c r="D119" s="9" t="s">
        <v>141</v>
      </c>
      <c r="E119" s="9"/>
      <c r="F119" s="9"/>
      <c r="G119" s="9" t="s">
        <v>141</v>
      </c>
      <c r="H119" s="9" t="s">
        <v>141</v>
      </c>
      <c r="I119" s="9" t="s">
        <v>141</v>
      </c>
      <c r="J119" s="9" t="s">
        <v>141</v>
      </c>
      <c r="K119" s="9" t="s">
        <v>141</v>
      </c>
      <c r="L119" s="9" t="s">
        <v>141</v>
      </c>
      <c r="M119" s="9" t="s">
        <v>141</v>
      </c>
      <c r="N119" s="9" t="s">
        <v>141</v>
      </c>
      <c r="O119" s="9" t="s">
        <v>141</v>
      </c>
      <c r="P119" s="9" t="s">
        <v>141</v>
      </c>
      <c r="Q119" s="9" t="s">
        <v>141</v>
      </c>
      <c r="R119" s="9" t="s">
        <v>141</v>
      </c>
      <c r="S119" s="9" t="s">
        <v>141</v>
      </c>
      <c r="T119" s="9" t="s">
        <v>141</v>
      </c>
      <c r="U119" s="9" t="s">
        <v>141</v>
      </c>
    </row>
    <row r="120" spans="1:21" x14ac:dyDescent="0.3">
      <c r="A120" s="23">
        <v>93</v>
      </c>
      <c r="B120" s="23">
        <v>1</v>
      </c>
      <c r="C120" s="9" t="s">
        <v>143</v>
      </c>
      <c r="D120" s="9" t="s">
        <v>142</v>
      </c>
      <c r="E120" s="9"/>
      <c r="F120" s="9"/>
      <c r="G120" s="9" t="s">
        <v>142</v>
      </c>
      <c r="H120" s="9" t="s">
        <v>143</v>
      </c>
      <c r="I120" s="9" t="s">
        <v>142</v>
      </c>
      <c r="J120" s="9" t="s">
        <v>143</v>
      </c>
      <c r="K120" s="9" t="s">
        <v>142</v>
      </c>
      <c r="L120" s="9" t="s">
        <v>142</v>
      </c>
      <c r="M120" s="9" t="s">
        <v>143</v>
      </c>
      <c r="N120" s="9" t="s">
        <v>142</v>
      </c>
      <c r="O120" s="9" t="s">
        <v>143</v>
      </c>
      <c r="P120" s="9" t="s">
        <v>143</v>
      </c>
      <c r="Q120" s="9" t="s">
        <v>142</v>
      </c>
      <c r="R120" s="9" t="s">
        <v>142</v>
      </c>
      <c r="S120" s="9" t="s">
        <v>143</v>
      </c>
      <c r="T120" s="9" t="s">
        <v>142</v>
      </c>
      <c r="U120" s="9" t="s">
        <v>143</v>
      </c>
    </row>
    <row r="121" spans="1:21" x14ac:dyDescent="0.3">
      <c r="A121" s="23">
        <v>94</v>
      </c>
      <c r="B121" s="23">
        <v>1</v>
      </c>
      <c r="C121" s="9" t="s">
        <v>143</v>
      </c>
      <c r="D121" s="9" t="s">
        <v>143</v>
      </c>
      <c r="E121" s="9"/>
      <c r="F121" s="9"/>
      <c r="G121" s="9" t="s">
        <v>143</v>
      </c>
      <c r="H121" s="9" t="s">
        <v>143</v>
      </c>
      <c r="I121" s="9" t="s">
        <v>142</v>
      </c>
      <c r="J121" s="9" t="s">
        <v>142</v>
      </c>
      <c r="K121" s="9" t="s">
        <v>143</v>
      </c>
      <c r="L121" s="9" t="s">
        <v>143</v>
      </c>
      <c r="M121" s="9" t="s">
        <v>142</v>
      </c>
      <c r="N121" s="9" t="s">
        <v>143</v>
      </c>
      <c r="O121" s="9" t="s">
        <v>143</v>
      </c>
      <c r="P121" s="9" t="s">
        <v>143</v>
      </c>
      <c r="Q121" s="9" t="s">
        <v>143</v>
      </c>
      <c r="R121" s="9" t="s">
        <v>143</v>
      </c>
      <c r="S121" s="9" t="s">
        <v>142</v>
      </c>
      <c r="T121" s="9" t="s">
        <v>143</v>
      </c>
      <c r="U121" s="9" t="s">
        <v>142</v>
      </c>
    </row>
    <row r="122" spans="1:21" x14ac:dyDescent="0.3">
      <c r="A122" s="23">
        <v>95</v>
      </c>
      <c r="B122" s="23">
        <v>1</v>
      </c>
      <c r="C122" s="9" t="s">
        <v>142</v>
      </c>
      <c r="D122" s="9" t="s">
        <v>142</v>
      </c>
      <c r="E122" s="9"/>
      <c r="F122" s="9"/>
      <c r="G122" s="9" t="s">
        <v>142</v>
      </c>
      <c r="H122" s="9" t="s">
        <v>142</v>
      </c>
      <c r="I122" s="9" t="s">
        <v>142</v>
      </c>
      <c r="J122" s="9" t="s">
        <v>143</v>
      </c>
      <c r="K122" s="9" t="s">
        <v>142</v>
      </c>
      <c r="L122" s="9" t="s">
        <v>143</v>
      </c>
      <c r="M122" s="9" t="s">
        <v>142</v>
      </c>
      <c r="N122" s="9" t="s">
        <v>143</v>
      </c>
      <c r="O122" s="9" t="s">
        <v>143</v>
      </c>
      <c r="P122" s="9" t="s">
        <v>142</v>
      </c>
      <c r="Q122" s="9" t="s">
        <v>142</v>
      </c>
      <c r="R122" s="9" t="s">
        <v>143</v>
      </c>
      <c r="S122" s="9" t="s">
        <v>143</v>
      </c>
      <c r="T122" s="9" t="s">
        <v>143</v>
      </c>
      <c r="U122" s="9" t="s">
        <v>143</v>
      </c>
    </row>
    <row r="123" spans="1:21" x14ac:dyDescent="0.3">
      <c r="A123" s="23">
        <v>96</v>
      </c>
      <c r="B123" s="23">
        <v>1</v>
      </c>
      <c r="C123" s="9" t="s">
        <v>142</v>
      </c>
      <c r="D123" s="9" t="s">
        <v>142</v>
      </c>
      <c r="E123" s="9"/>
      <c r="F123" s="9"/>
      <c r="G123" s="9" t="s">
        <v>142</v>
      </c>
      <c r="H123" s="9" t="s">
        <v>142</v>
      </c>
      <c r="I123" s="9" t="s">
        <v>142</v>
      </c>
      <c r="J123" s="9" t="s">
        <v>143</v>
      </c>
      <c r="K123" s="9" t="s">
        <v>143</v>
      </c>
      <c r="L123" s="9" t="s">
        <v>142</v>
      </c>
      <c r="M123" s="9" t="s">
        <v>142</v>
      </c>
      <c r="N123" s="9" t="s">
        <v>143</v>
      </c>
      <c r="O123" s="9" t="s">
        <v>143</v>
      </c>
      <c r="P123" s="9" t="s">
        <v>142</v>
      </c>
      <c r="Q123" s="9" t="s">
        <v>142</v>
      </c>
      <c r="R123" s="9" t="s">
        <v>142</v>
      </c>
      <c r="S123" s="9" t="s">
        <v>142</v>
      </c>
      <c r="T123" s="9" t="s">
        <v>142</v>
      </c>
      <c r="U123" s="9" t="s">
        <v>142</v>
      </c>
    </row>
    <row r="124" spans="1:21" x14ac:dyDescent="0.3">
      <c r="A124" s="23">
        <v>97</v>
      </c>
      <c r="B124" s="23">
        <v>0</v>
      </c>
      <c r="C124" s="9" t="s">
        <v>141</v>
      </c>
      <c r="D124" s="9" t="s">
        <v>141</v>
      </c>
      <c r="E124" s="9"/>
      <c r="F124" s="9"/>
      <c r="G124" s="9" t="s">
        <v>141</v>
      </c>
      <c r="H124" s="9" t="s">
        <v>141</v>
      </c>
      <c r="I124" s="9" t="s">
        <v>141</v>
      </c>
      <c r="J124" s="9" t="s">
        <v>141</v>
      </c>
      <c r="K124" s="9" t="s">
        <v>141</v>
      </c>
      <c r="L124" s="9" t="s">
        <v>141</v>
      </c>
      <c r="M124" s="9" t="s">
        <v>141</v>
      </c>
      <c r="N124" s="9" t="s">
        <v>141</v>
      </c>
      <c r="O124" s="9" t="s">
        <v>141</v>
      </c>
      <c r="P124" s="9" t="s">
        <v>141</v>
      </c>
      <c r="Q124" s="9" t="s">
        <v>141</v>
      </c>
      <c r="R124" s="9" t="s">
        <v>141</v>
      </c>
      <c r="S124" s="9" t="s">
        <v>141</v>
      </c>
      <c r="T124" s="9" t="s">
        <v>141</v>
      </c>
      <c r="U124" s="9" t="s">
        <v>141</v>
      </c>
    </row>
    <row r="125" spans="1:21" x14ac:dyDescent="0.3">
      <c r="A125" s="23">
        <v>98</v>
      </c>
      <c r="B125" s="23">
        <v>1</v>
      </c>
      <c r="C125" s="9" t="s">
        <v>143</v>
      </c>
      <c r="D125" s="9" t="s">
        <v>142</v>
      </c>
      <c r="E125" s="9"/>
      <c r="F125" s="9"/>
      <c r="G125" s="9" t="s">
        <v>142</v>
      </c>
      <c r="H125" s="9" t="s">
        <v>142</v>
      </c>
      <c r="I125" s="9" t="s">
        <v>143</v>
      </c>
      <c r="J125" s="9" t="s">
        <v>142</v>
      </c>
      <c r="K125" s="9" t="s">
        <v>142</v>
      </c>
      <c r="L125" s="9" t="s">
        <v>142</v>
      </c>
      <c r="M125" s="9" t="s">
        <v>142</v>
      </c>
      <c r="N125" s="9" t="s">
        <v>142</v>
      </c>
      <c r="O125" s="9" t="s">
        <v>143</v>
      </c>
      <c r="P125" s="9" t="s">
        <v>142</v>
      </c>
      <c r="Q125" s="9" t="s">
        <v>143</v>
      </c>
      <c r="R125" s="9" t="s">
        <v>142</v>
      </c>
      <c r="S125" s="9" t="s">
        <v>142</v>
      </c>
      <c r="T125" s="9" t="s">
        <v>143</v>
      </c>
      <c r="U125" s="9" t="s">
        <v>142</v>
      </c>
    </row>
    <row r="126" spans="1:21" x14ac:dyDescent="0.3">
      <c r="A126" s="23">
        <v>99</v>
      </c>
      <c r="B126" s="23">
        <v>0</v>
      </c>
      <c r="C126" s="9" t="s">
        <v>141</v>
      </c>
      <c r="D126" s="9" t="s">
        <v>141</v>
      </c>
      <c r="E126" s="9"/>
      <c r="F126" s="9"/>
      <c r="G126" s="9" t="s">
        <v>141</v>
      </c>
      <c r="H126" s="9" t="s">
        <v>141</v>
      </c>
      <c r="I126" s="9" t="s">
        <v>141</v>
      </c>
      <c r="J126" s="9" t="s">
        <v>141</v>
      </c>
      <c r="K126" s="9" t="s">
        <v>141</v>
      </c>
      <c r="L126" s="9" t="s">
        <v>141</v>
      </c>
      <c r="M126" s="9" t="s">
        <v>141</v>
      </c>
      <c r="N126" s="9" t="s">
        <v>141</v>
      </c>
      <c r="O126" s="9" t="s">
        <v>141</v>
      </c>
      <c r="P126" s="9" t="s">
        <v>141</v>
      </c>
      <c r="Q126" s="9" t="s">
        <v>141</v>
      </c>
      <c r="R126" s="9" t="s">
        <v>141</v>
      </c>
      <c r="S126" s="9" t="s">
        <v>141</v>
      </c>
      <c r="T126" s="9" t="s">
        <v>141</v>
      </c>
      <c r="U126" s="9" t="s">
        <v>141</v>
      </c>
    </row>
    <row r="127" spans="1:21" x14ac:dyDescent="0.3">
      <c r="A127" s="23">
        <v>100</v>
      </c>
      <c r="B127" s="23">
        <v>1</v>
      </c>
      <c r="C127" s="9" t="s">
        <v>142</v>
      </c>
      <c r="D127" s="9" t="s">
        <v>143</v>
      </c>
      <c r="E127" s="9"/>
      <c r="F127" s="9"/>
      <c r="G127" s="9" t="s">
        <v>142</v>
      </c>
      <c r="H127" s="9" t="s">
        <v>143</v>
      </c>
      <c r="I127" s="9" t="s">
        <v>143</v>
      </c>
      <c r="J127" s="9" t="s">
        <v>143</v>
      </c>
      <c r="K127" s="9" t="s">
        <v>142</v>
      </c>
      <c r="L127" s="9" t="s">
        <v>142</v>
      </c>
      <c r="M127" s="9" t="s">
        <v>142</v>
      </c>
      <c r="N127" s="9" t="s">
        <v>143</v>
      </c>
      <c r="O127" s="9" t="s">
        <v>142</v>
      </c>
      <c r="P127" s="9" t="s">
        <v>143</v>
      </c>
      <c r="Q127" s="9" t="s">
        <v>142</v>
      </c>
      <c r="R127" s="9" t="s">
        <v>142</v>
      </c>
      <c r="S127" s="9" t="s">
        <v>143</v>
      </c>
      <c r="T127" s="9" t="s">
        <v>142</v>
      </c>
      <c r="U127" s="9" t="s">
        <v>143</v>
      </c>
    </row>
    <row r="128" spans="1:21" x14ac:dyDescent="0.3">
      <c r="C128" s="30">
        <f>COUNTIF(C28:C127,"=Yes")</f>
        <v>23</v>
      </c>
      <c r="D128" s="30">
        <f t="shared" ref="D128:U128" si="5">COUNTIF(D28:D127,"=Yes")</f>
        <v>31</v>
      </c>
      <c r="E128" s="30"/>
      <c r="F128" s="30"/>
      <c r="G128" s="30">
        <f t="shared" si="5"/>
        <v>25</v>
      </c>
      <c r="H128" s="30">
        <f t="shared" si="5"/>
        <v>18</v>
      </c>
      <c r="I128" s="30">
        <f t="shared" si="5"/>
        <v>34</v>
      </c>
      <c r="J128" s="30">
        <f t="shared" si="5"/>
        <v>25</v>
      </c>
      <c r="K128" s="30">
        <f t="shared" si="5"/>
        <v>21</v>
      </c>
      <c r="L128" s="30">
        <f t="shared" si="5"/>
        <v>24</v>
      </c>
      <c r="M128" s="30">
        <f t="shared" si="5"/>
        <v>25</v>
      </c>
      <c r="N128" s="30">
        <f t="shared" si="5"/>
        <v>25</v>
      </c>
      <c r="O128" s="30">
        <f t="shared" si="5"/>
        <v>31</v>
      </c>
      <c r="P128" s="30">
        <f t="shared" si="5"/>
        <v>21</v>
      </c>
      <c r="Q128" s="30">
        <f t="shared" si="5"/>
        <v>27</v>
      </c>
      <c r="R128" s="30">
        <f t="shared" si="5"/>
        <v>23</v>
      </c>
      <c r="S128" s="30">
        <f t="shared" si="5"/>
        <v>25</v>
      </c>
      <c r="T128" s="30">
        <f t="shared" si="5"/>
        <v>26</v>
      </c>
      <c r="U128" s="30">
        <f t="shared" si="5"/>
        <v>34</v>
      </c>
    </row>
  </sheetData>
  <autoFilter ref="A27:U127" xr:uid="{3A0C819F-1EC0-4C67-B947-179181AC8851}"/>
  <conditionalFormatting sqref="C4:C20">
    <cfRule type="cellIs" dxfId="0" priority="1" operator="equal">
      <formula>"Above average"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908-E79E-4924-86B3-24CBE8D132E6}">
  <dimension ref="A1:F13"/>
  <sheetViews>
    <sheetView zoomScaleNormal="100" workbookViewId="0">
      <selection activeCell="E15" sqref="E15"/>
    </sheetView>
  </sheetViews>
  <sheetFormatPr defaultColWidth="14.44140625" defaultRowHeight="14.4" x14ac:dyDescent="0.3"/>
  <cols>
    <col min="1" max="1" width="16.109375" bestFit="1" customWidth="1"/>
    <col min="2" max="2" width="33.44140625" customWidth="1"/>
  </cols>
  <sheetData>
    <row r="1" spans="1:6" ht="15.6" x14ac:dyDescent="0.3">
      <c r="A1" s="2" t="s">
        <v>169</v>
      </c>
    </row>
    <row r="5" spans="1:6" x14ac:dyDescent="0.3">
      <c r="C5" s="24" t="s">
        <v>40</v>
      </c>
      <c r="D5" s="24"/>
      <c r="E5" s="24" t="s">
        <v>38</v>
      </c>
      <c r="F5" s="24"/>
    </row>
    <row r="6" spans="1:6" x14ac:dyDescent="0.3">
      <c r="C6" s="25" t="s">
        <v>167</v>
      </c>
      <c r="D6" s="25" t="s">
        <v>168</v>
      </c>
      <c r="E6" s="25" t="s">
        <v>167</v>
      </c>
      <c r="F6" s="25" t="s">
        <v>168</v>
      </c>
    </row>
    <row r="7" spans="1:6" x14ac:dyDescent="0.3">
      <c r="A7" t="s">
        <v>159</v>
      </c>
      <c r="B7" s="3" t="s">
        <v>161</v>
      </c>
      <c r="C7" s="37">
        <v>24</v>
      </c>
      <c r="D7" s="38">
        <v>300</v>
      </c>
      <c r="E7" s="37">
        <v>24</v>
      </c>
      <c r="F7" s="39">
        <v>100</v>
      </c>
    </row>
    <row r="8" spans="1:6" x14ac:dyDescent="0.3">
      <c r="B8" s="3" t="s">
        <v>162</v>
      </c>
      <c r="C8">
        <v>10</v>
      </c>
      <c r="D8" s="38">
        <v>50</v>
      </c>
      <c r="E8">
        <v>10</v>
      </c>
      <c r="F8" s="39">
        <v>50</v>
      </c>
    </row>
    <row r="9" spans="1:6" x14ac:dyDescent="0.3">
      <c r="A9" t="s">
        <v>160</v>
      </c>
      <c r="B9" s="28" t="s">
        <v>163</v>
      </c>
      <c r="C9">
        <v>3</v>
      </c>
      <c r="D9" s="38">
        <v>2000</v>
      </c>
      <c r="E9">
        <v>2</v>
      </c>
      <c r="F9" s="39">
        <v>2000</v>
      </c>
    </row>
    <row r="10" spans="1:6" x14ac:dyDescent="0.3">
      <c r="B10" s="28" t="s">
        <v>164</v>
      </c>
      <c r="C10">
        <v>3</v>
      </c>
      <c r="D10" s="38">
        <v>1000</v>
      </c>
      <c r="E10">
        <v>2</v>
      </c>
      <c r="F10" s="39">
        <v>800</v>
      </c>
    </row>
    <row r="11" spans="1:6" x14ac:dyDescent="0.3">
      <c r="B11" s="28" t="s">
        <v>165</v>
      </c>
      <c r="C11">
        <v>3</v>
      </c>
      <c r="D11" s="38">
        <v>1500</v>
      </c>
      <c r="E11">
        <v>2</v>
      </c>
      <c r="F11" s="38">
        <v>1500</v>
      </c>
    </row>
    <row r="12" spans="1:6" x14ac:dyDescent="0.3">
      <c r="A12" s="40"/>
      <c r="B12" s="41" t="s">
        <v>166</v>
      </c>
      <c r="C12" s="40">
        <v>10</v>
      </c>
      <c r="D12" s="42">
        <v>100</v>
      </c>
      <c r="E12" s="40">
        <v>10</v>
      </c>
      <c r="F12" s="43">
        <v>100</v>
      </c>
    </row>
    <row r="13" spans="1:6" x14ac:dyDescent="0.3">
      <c r="B13" s="28" t="s">
        <v>170</v>
      </c>
      <c r="D13" s="17">
        <f>SUMPRODUCT(D7:D12,C7:C12)</f>
        <v>22200</v>
      </c>
      <c r="F13" s="17">
        <f>SUMPRODUCT(F7:F12,E7:E12)</f>
        <v>12500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896D01-CFBA-425E-8CBF-AAB30B366C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About</vt:lpstr>
      <vt:lpstr>Summary</vt:lpstr>
      <vt:lpstr>Market size</vt:lpstr>
      <vt:lpstr>Data-&gt;</vt:lpstr>
      <vt:lpstr>Sales</vt:lpstr>
      <vt:lpstr>Author</vt:lpstr>
      <vt:lpstr>Survey</vt:lpstr>
      <vt:lpstr>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saika</dc:creator>
  <cp:lastModifiedBy>saikat2594bera@gmail.com</cp:lastModifiedBy>
  <dcterms:created xsi:type="dcterms:W3CDTF">2015-06-05T18:17:20Z</dcterms:created>
  <dcterms:modified xsi:type="dcterms:W3CDTF">2023-12-13T21:45:22Z</dcterms:modified>
</cp:coreProperties>
</file>